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Business Case Study Exam\"/>
    </mc:Choice>
  </mc:AlternateContent>
  <xr:revisionPtr revIDLastSave="0" documentId="13_ncr:1_{20016861-A260-4209-936C-D9203C41A2E7}" xr6:coauthVersionLast="47" xr6:coauthVersionMax="47" xr10:uidLastSave="{00000000-0000-0000-0000-000000000000}"/>
  <workbookProtection workbookAlgorithmName="SHA-512" workbookHashValue="7uwM5ISmxpvz3Wx8ADZYf0C86C8XUOqX65rxxeNdT3yyM09h8jx87mCbLCqymHQ/i7RGvHMkwykExZw2WLeG0Q==" workbookSaltValue="UaNhqvLCIGi9p2fDkKn52A==" workbookSpinCount="100000" lockStructure="1"/>
  <bookViews>
    <workbookView xWindow="-108" yWindow="-108" windowWidth="23256" windowHeight="12456" xr2:uid="{00000000-000D-0000-FFFF-FFFF00000000}"/>
  </bookViews>
  <sheets>
    <sheet name="DASHBOARD" sheetId="1" r:id="rId1"/>
    <sheet name="FreqRoutes" sheetId="2" r:id="rId2"/>
    <sheet name="AvgProfitRoute" sheetId="3" r:id="rId3"/>
    <sheet name="MonthlyTrend" sheetId="6" r:id="rId4"/>
    <sheet name="DomVsIntl" sheetId="7" r:id="rId5"/>
    <sheet name="CostVsRevenue" sheetId="10" r:id="rId6"/>
    <sheet name="OccupancyDonut" sheetId="11" r:id="rId7"/>
    <sheet name="RouteMapData" sheetId="12" r:id="rId8"/>
  </sheets>
  <definedNames>
    <definedName name="Slicer_RouteCode">#N/A</definedName>
    <definedName name="Slicer_YearMonth">#N/A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Lst>
</workbook>
</file>

<file path=xl/sharedStrings.xml><?xml version="1.0" encoding="utf-8"?>
<sst xmlns="http://schemas.openxmlformats.org/spreadsheetml/2006/main" count="685" uniqueCount="97">
  <si>
    <t>✈  SkyRoutes Profit Lab – Route Profitability Dashboard</t>
  </si>
  <si>
    <t>Top 10 Most Frequent Routes</t>
  </si>
  <si>
    <t>RouteCode</t>
  </si>
  <si>
    <t>TotalFlights</t>
  </si>
  <si>
    <t>BOM-CCU</t>
  </si>
  <si>
    <t>DEL-MAA</t>
  </si>
  <si>
    <t>HYD-DXB</t>
  </si>
  <si>
    <t>BOM-BKK</t>
  </si>
  <si>
    <t>BOM-DEL</t>
  </si>
  <si>
    <t>MAA-CMB</t>
  </si>
  <si>
    <t>DEL-FRA</t>
  </si>
  <si>
    <t>DEL-AMD</t>
  </si>
  <si>
    <t>MAA-BLR</t>
  </si>
  <si>
    <t>BOM-NRT</t>
  </si>
  <si>
    <t>Avg Revenue, Cost &amp; Profit per Route</t>
  </si>
  <si>
    <t>AvgRevenue</t>
  </si>
  <si>
    <t>AvgCost</t>
  </si>
  <si>
    <t>AvgProfit</t>
  </si>
  <si>
    <t>DEL-LHR</t>
  </si>
  <si>
    <t>BLR-SIN</t>
  </si>
  <si>
    <t>CCU-KUL</t>
  </si>
  <si>
    <t>BOM-DXB</t>
  </si>
  <si>
    <t>DEL-CDG</t>
  </si>
  <si>
    <t>DEL-BLR</t>
  </si>
  <si>
    <t>BLR-HYD</t>
  </si>
  <si>
    <t>HYD-BOM</t>
  </si>
  <si>
    <t>BOM-GOI</t>
  </si>
  <si>
    <t>CCU-DEL</t>
  </si>
  <si>
    <t>Monthly Profit Trend per Route</t>
  </si>
  <si>
    <t>YearMonth</t>
  </si>
  <si>
    <t>MonthlyProfit</t>
  </si>
  <si>
    <t>2023-01</t>
  </si>
  <si>
    <t>2023-02</t>
  </si>
  <si>
    <t>2023-03</t>
  </si>
  <si>
    <t>2023-04</t>
  </si>
  <si>
    <t>2023-05</t>
  </si>
  <si>
    <t>2023-06</t>
  </si>
  <si>
    <t>2023-07</t>
  </si>
  <si>
    <t>2023-08</t>
  </si>
  <si>
    <t>2023-09</t>
  </si>
  <si>
    <t>2023-10</t>
  </si>
  <si>
    <t>2023-11</t>
  </si>
  <si>
    <t>2023-12</t>
  </si>
  <si>
    <t>Domestic vs International Profitability</t>
  </si>
  <si>
    <t>RouteType</t>
  </si>
  <si>
    <t>TotalProfit</t>
  </si>
  <si>
    <t>Domestic</t>
  </si>
  <si>
    <t>International</t>
  </si>
  <si>
    <t>Cost vs Revenue per Route</t>
  </si>
  <si>
    <t>Average Seat Occupancy</t>
  </si>
  <si>
    <t>Category</t>
  </si>
  <si>
    <t>Percentage</t>
  </si>
  <si>
    <t>Seats Sold</t>
  </si>
  <si>
    <t>Seats Empty</t>
  </si>
  <si>
    <t>Origin-Destination Route Coordinates</t>
  </si>
  <si>
    <t>Origin</t>
  </si>
  <si>
    <t>OriginCity</t>
  </si>
  <si>
    <t>OriginLat</t>
  </si>
  <si>
    <t>OriginLon</t>
  </si>
  <si>
    <t>Destination</t>
  </si>
  <si>
    <t>DestCity</t>
  </si>
  <si>
    <t>DestLat</t>
  </si>
  <si>
    <t>DestLon</t>
  </si>
  <si>
    <t>BLR</t>
  </si>
  <si>
    <t>Bangalore</t>
  </si>
  <si>
    <t>HYD</t>
  </si>
  <si>
    <t>Hyderabad</t>
  </si>
  <si>
    <t>MAA</t>
  </si>
  <si>
    <t>Chennai</t>
  </si>
  <si>
    <t>CMB</t>
  </si>
  <si>
    <t>Colombo</t>
  </si>
  <si>
    <t>BOM</t>
  </si>
  <si>
    <t>Mumbai</t>
  </si>
  <si>
    <t>DEL</t>
  </si>
  <si>
    <t>Delhi</t>
  </si>
  <si>
    <t>FRA</t>
  </si>
  <si>
    <t>Frankfurt</t>
  </si>
  <si>
    <t>LHR</t>
  </si>
  <si>
    <t>London</t>
  </si>
  <si>
    <t>CCU</t>
  </si>
  <si>
    <t>Kolkata</t>
  </si>
  <si>
    <t>DXB</t>
  </si>
  <si>
    <t>Dubai</t>
  </si>
  <si>
    <t>SIN</t>
  </si>
  <si>
    <t>Singapore</t>
  </si>
  <si>
    <t>AMD</t>
  </si>
  <si>
    <t>Ahmedabad</t>
  </si>
  <si>
    <t>BKK</t>
  </si>
  <si>
    <t>Bangkok</t>
  </si>
  <si>
    <t>GOI</t>
  </si>
  <si>
    <t>Goa</t>
  </si>
  <si>
    <t>NRT</t>
  </si>
  <si>
    <t>Tokyo</t>
  </si>
  <si>
    <t>CDG</t>
  </si>
  <si>
    <t>Paris</t>
  </si>
  <si>
    <t>KUL</t>
  </si>
  <si>
    <t>Kuala Lumpur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</si>
</sst>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1B3A6B"/>
      <name val="Calibri"/>
      <family val="2"/>
    </font>
    <font>
      <b/>
      <sz val="11"/>
      <color rgb="FFFFFFFF"/>
      <name val="Calibri"/>
      <family val="2"/>
    </font>
    <font>
      <b/>
      <sz val="16"/>
      <color theme="8" tint="0.79998168889431442"/>
      <name val="Calibri"/>
      <family val="2"/>
    </font>
  </fonts>
  <fills count="5">
    <fill>
      <patternFill patternType="none"/>
    </fill>
    <fill>
      <patternFill patternType="gray125"/>
    </fill>
    <fill>
      <patternFill patternType="solid">
        <fgColor rgb="FF1B3A6B"/>
      </patternFill>
    </fill>
    <fill>
      <patternFill patternType="solid">
        <fgColor rgb="FFEAF0FB"/>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horizontal="center"/>
    </xf>
    <xf numFmtId="0" fontId="0" fillId="3" borderId="0" xfId="0" applyFill="1"/>
    <xf numFmtId="0" fontId="2" fillId="2" borderId="0" xfId="0" applyFont="1" applyFill="1"/>
    <xf numFmtId="0" fontId="3" fillId="4" borderId="0" xfId="0" applyFont="1" applyFill="1" applyAlignment="1">
      <alignment horizontal="center"/>
    </xf>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0">
    <dxf>
      <fill>
        <patternFill patternType="solid">
          <fgColor indexed="64"/>
          <bgColor rgb="FFEAF0FB"/>
        </patternFill>
      </fill>
    </dxf>
    <dxf>
      <fill>
        <patternFill patternType="solid">
          <fgColor indexed="64"/>
          <bgColor rgb="FFEAF0FB"/>
        </patternFill>
      </fill>
    </dxf>
    <dxf>
      <fill>
        <patternFill patternType="solid">
          <fgColor indexed="64"/>
          <bgColor rgb="FFEAF0FB"/>
        </patternFill>
      </fill>
    </dxf>
    <dxf>
      <font>
        <b/>
        <i val="0"/>
        <strike val="0"/>
        <condense val="0"/>
        <extend val="0"/>
        <outline val="0"/>
        <shadow val="0"/>
        <u val="none"/>
        <vertAlign val="baseline"/>
        <sz val="11"/>
        <color rgb="FFFFFFFF"/>
        <name val="Calibri"/>
        <family val="2"/>
        <scheme val="none"/>
      </font>
      <fill>
        <patternFill patternType="solid">
          <fgColor indexed="64"/>
          <bgColor rgb="FF1B3A6B"/>
        </patternFill>
      </fill>
      <alignment horizontal="center" vertical="bottom" textRotation="0" wrapText="0" indent="0" justifyLastLine="0" shrinkToFit="0" readingOrder="0"/>
    </dxf>
    <dxf>
      <fill>
        <patternFill patternType="solid">
          <fgColor indexed="64"/>
          <bgColor rgb="FFEAF0FB"/>
        </patternFill>
      </fill>
    </dxf>
    <dxf>
      <fill>
        <patternFill patternType="solid">
          <fgColor indexed="64"/>
          <bgColor rgb="FFEAF0FB"/>
        </patternFill>
      </fill>
    </dxf>
    <dxf>
      <fill>
        <patternFill patternType="solid">
          <fgColor indexed="64"/>
          <bgColor rgb="FFEAF0FB"/>
        </patternFill>
      </fill>
    </dxf>
    <dxf>
      <fill>
        <patternFill patternType="solid">
          <fgColor indexed="64"/>
          <bgColor rgb="FFEAF0FB"/>
        </patternFill>
      </fill>
    </dxf>
    <dxf>
      <fill>
        <patternFill patternType="solid">
          <fgColor indexed="64"/>
          <bgColor rgb="FFEAF0FB"/>
        </patternFill>
      </fill>
    </dxf>
    <dxf>
      <font>
        <b/>
        <i val="0"/>
        <strike val="0"/>
        <condense val="0"/>
        <extend val="0"/>
        <outline val="0"/>
        <shadow val="0"/>
        <u val="none"/>
        <vertAlign val="baseline"/>
        <sz val="11"/>
        <color rgb="FFFFFFFF"/>
        <name val="Calibri"/>
        <family val="2"/>
        <scheme val="none"/>
      </font>
      <fill>
        <patternFill patternType="solid">
          <fgColor indexed="64"/>
          <bgColor rgb="FF1B3A6B"/>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t>Top 10 Most Profitable Routes</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2.2774327122153208E-2"/>
          <c:y val="3.3152501506931886E-2"/>
          <c:w val="0.95445134575569357"/>
          <c:h val="0.89134522741619326"/>
        </c:manualLayout>
      </c:layout>
      <c:barChart>
        <c:barDir val="col"/>
        <c:grouping val="clustered"/>
        <c:varyColors val="1"/>
        <c:ser>
          <c:idx val="0"/>
          <c:order val="0"/>
          <c:tx>
            <c:strRef>
              <c:f>AvgProfitRoute!$D$2</c:f>
              <c:strCache>
                <c:ptCount val="1"/>
                <c:pt idx="0">
                  <c:v>AvgProfit</c:v>
                </c:pt>
              </c:strCache>
            </c:strRef>
          </c:tx>
          <c:invertIfNegative val="1"/>
          <c:dPt>
            <c:idx val="0"/>
            <c:invertIfNegative val="1"/>
            <c:bubble3D val="0"/>
            <c:spPr>
              <a:solidFill>
                <a:schemeClr val="accent5">
                  <a:shade val="42000"/>
                </a:schemeClr>
              </a:solidFill>
              <a:ln>
                <a:noFill/>
              </a:ln>
              <a:effectLst/>
            </c:spPr>
            <c:extLst>
              <c:ext xmlns:c16="http://schemas.microsoft.com/office/drawing/2014/chart" uri="{C3380CC4-5D6E-409C-BE32-E72D297353CC}">
                <c16:uniqueId val="{00000001-745A-48BB-A1E4-AA9768029691}"/>
              </c:ext>
            </c:extLst>
          </c:dPt>
          <c:dPt>
            <c:idx val="1"/>
            <c:invertIfNegative val="1"/>
            <c:bubble3D val="0"/>
            <c:spPr>
              <a:solidFill>
                <a:schemeClr val="accent5">
                  <a:shade val="55000"/>
                </a:schemeClr>
              </a:solidFill>
              <a:ln>
                <a:noFill/>
              </a:ln>
              <a:effectLst/>
            </c:spPr>
            <c:extLst>
              <c:ext xmlns:c16="http://schemas.microsoft.com/office/drawing/2014/chart" uri="{C3380CC4-5D6E-409C-BE32-E72D297353CC}">
                <c16:uniqueId val="{00000003-745A-48BB-A1E4-AA9768029691}"/>
              </c:ext>
            </c:extLst>
          </c:dPt>
          <c:dPt>
            <c:idx val="2"/>
            <c:invertIfNegative val="1"/>
            <c:bubble3D val="0"/>
            <c:spPr>
              <a:solidFill>
                <a:schemeClr val="accent5">
                  <a:shade val="68000"/>
                </a:schemeClr>
              </a:solidFill>
              <a:ln>
                <a:noFill/>
              </a:ln>
              <a:effectLst/>
            </c:spPr>
            <c:extLst>
              <c:ext xmlns:c16="http://schemas.microsoft.com/office/drawing/2014/chart" uri="{C3380CC4-5D6E-409C-BE32-E72D297353CC}">
                <c16:uniqueId val="{00000005-745A-48BB-A1E4-AA9768029691}"/>
              </c:ext>
            </c:extLst>
          </c:dPt>
          <c:dPt>
            <c:idx val="3"/>
            <c:invertIfNegative val="1"/>
            <c:bubble3D val="0"/>
            <c:spPr>
              <a:solidFill>
                <a:schemeClr val="accent5">
                  <a:shade val="80000"/>
                </a:schemeClr>
              </a:solidFill>
              <a:ln>
                <a:noFill/>
              </a:ln>
              <a:effectLst/>
            </c:spPr>
            <c:extLst>
              <c:ext xmlns:c16="http://schemas.microsoft.com/office/drawing/2014/chart" uri="{C3380CC4-5D6E-409C-BE32-E72D297353CC}">
                <c16:uniqueId val="{00000007-745A-48BB-A1E4-AA9768029691}"/>
              </c:ext>
            </c:extLst>
          </c:dPt>
          <c:dPt>
            <c:idx val="4"/>
            <c:invertIfNegative val="1"/>
            <c:bubble3D val="0"/>
            <c:spPr>
              <a:solidFill>
                <a:schemeClr val="accent5">
                  <a:shade val="93000"/>
                </a:schemeClr>
              </a:solidFill>
              <a:ln>
                <a:noFill/>
              </a:ln>
              <a:effectLst/>
            </c:spPr>
            <c:extLst>
              <c:ext xmlns:c16="http://schemas.microsoft.com/office/drawing/2014/chart" uri="{C3380CC4-5D6E-409C-BE32-E72D297353CC}">
                <c16:uniqueId val="{00000009-745A-48BB-A1E4-AA9768029691}"/>
              </c:ext>
            </c:extLst>
          </c:dPt>
          <c:dPt>
            <c:idx val="5"/>
            <c:invertIfNegative val="1"/>
            <c:bubble3D val="0"/>
            <c:spPr>
              <a:solidFill>
                <a:schemeClr val="accent5">
                  <a:tint val="94000"/>
                </a:schemeClr>
              </a:solidFill>
              <a:ln>
                <a:noFill/>
              </a:ln>
              <a:effectLst/>
            </c:spPr>
            <c:extLst>
              <c:ext xmlns:c16="http://schemas.microsoft.com/office/drawing/2014/chart" uri="{C3380CC4-5D6E-409C-BE32-E72D297353CC}">
                <c16:uniqueId val="{0000000B-745A-48BB-A1E4-AA9768029691}"/>
              </c:ext>
            </c:extLst>
          </c:dPt>
          <c:dPt>
            <c:idx val="6"/>
            <c:invertIfNegative val="1"/>
            <c:bubble3D val="0"/>
            <c:spPr>
              <a:solidFill>
                <a:schemeClr val="accent5">
                  <a:tint val="81000"/>
                </a:schemeClr>
              </a:solidFill>
              <a:ln>
                <a:noFill/>
              </a:ln>
              <a:effectLst/>
            </c:spPr>
            <c:extLst>
              <c:ext xmlns:c16="http://schemas.microsoft.com/office/drawing/2014/chart" uri="{C3380CC4-5D6E-409C-BE32-E72D297353CC}">
                <c16:uniqueId val="{0000000D-745A-48BB-A1E4-AA9768029691}"/>
              </c:ext>
            </c:extLst>
          </c:dPt>
          <c:dPt>
            <c:idx val="7"/>
            <c:invertIfNegative val="1"/>
            <c:bubble3D val="0"/>
            <c:spPr>
              <a:solidFill>
                <a:schemeClr val="accent5">
                  <a:tint val="69000"/>
                </a:schemeClr>
              </a:solidFill>
              <a:ln>
                <a:noFill/>
              </a:ln>
              <a:effectLst/>
            </c:spPr>
            <c:extLst>
              <c:ext xmlns:c16="http://schemas.microsoft.com/office/drawing/2014/chart" uri="{C3380CC4-5D6E-409C-BE32-E72D297353CC}">
                <c16:uniqueId val="{0000000F-745A-48BB-A1E4-AA9768029691}"/>
              </c:ext>
            </c:extLst>
          </c:dPt>
          <c:dPt>
            <c:idx val="8"/>
            <c:invertIfNegative val="1"/>
            <c:bubble3D val="0"/>
            <c:spPr>
              <a:solidFill>
                <a:schemeClr val="accent5">
                  <a:tint val="56000"/>
                </a:schemeClr>
              </a:solidFill>
              <a:ln>
                <a:noFill/>
              </a:ln>
              <a:effectLst/>
            </c:spPr>
            <c:extLst>
              <c:ext xmlns:c16="http://schemas.microsoft.com/office/drawing/2014/chart" uri="{C3380CC4-5D6E-409C-BE32-E72D297353CC}">
                <c16:uniqueId val="{00000011-745A-48BB-A1E4-AA9768029691}"/>
              </c:ext>
            </c:extLst>
          </c:dPt>
          <c:dPt>
            <c:idx val="9"/>
            <c:invertIfNegative val="1"/>
            <c:bubble3D val="0"/>
            <c:spPr>
              <a:solidFill>
                <a:schemeClr val="accent5">
                  <a:tint val="43000"/>
                </a:schemeClr>
              </a:solidFill>
              <a:ln>
                <a:noFill/>
              </a:ln>
              <a:effectLst/>
            </c:spPr>
            <c:extLst>
              <c:ext xmlns:c16="http://schemas.microsoft.com/office/drawing/2014/chart" uri="{C3380CC4-5D6E-409C-BE32-E72D297353CC}">
                <c16:uniqueId val="{00000013-745A-48BB-A1E4-AA97680296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AvgProfitRoute!$A$3:$A$12</c:f>
              <c:strCache>
                <c:ptCount val="10"/>
                <c:pt idx="0">
                  <c:v>DEL-LHR</c:v>
                </c:pt>
                <c:pt idx="1">
                  <c:v>BLR-SIN</c:v>
                </c:pt>
                <c:pt idx="2">
                  <c:v>BOM-BKK</c:v>
                </c:pt>
                <c:pt idx="3">
                  <c:v>BOM-NRT</c:v>
                </c:pt>
                <c:pt idx="4">
                  <c:v>CCU-KUL</c:v>
                </c:pt>
                <c:pt idx="5">
                  <c:v>BOM-DXB</c:v>
                </c:pt>
                <c:pt idx="6">
                  <c:v>HYD-DXB</c:v>
                </c:pt>
                <c:pt idx="7">
                  <c:v>DEL-CDG</c:v>
                </c:pt>
                <c:pt idx="8">
                  <c:v>DEL-FRA</c:v>
                </c:pt>
                <c:pt idx="9">
                  <c:v>MAA-CMB</c:v>
                </c:pt>
              </c:strCache>
            </c:strRef>
          </c:cat>
          <c:val>
            <c:numRef>
              <c:f>AvgProfitRoute!$D$3:$D$12</c:f>
              <c:numCache>
                <c:formatCode>General</c:formatCode>
                <c:ptCount val="10"/>
                <c:pt idx="0">
                  <c:v>690007.63</c:v>
                </c:pt>
                <c:pt idx="1">
                  <c:v>680786.17</c:v>
                </c:pt>
                <c:pt idx="2">
                  <c:v>678606.39</c:v>
                </c:pt>
                <c:pt idx="3">
                  <c:v>635912.64</c:v>
                </c:pt>
                <c:pt idx="4">
                  <c:v>616748.71</c:v>
                </c:pt>
                <c:pt idx="5">
                  <c:v>616284.86</c:v>
                </c:pt>
                <c:pt idx="6">
                  <c:v>606708.96</c:v>
                </c:pt>
                <c:pt idx="7">
                  <c:v>601591.23</c:v>
                </c:pt>
                <c:pt idx="8">
                  <c:v>580562.85</c:v>
                </c:pt>
                <c:pt idx="9">
                  <c:v>553243.56999999995</c:v>
                </c:pt>
              </c:numCache>
            </c:numRef>
          </c:val>
          <c:extLst>
            <c:ext xmlns:c16="http://schemas.microsoft.com/office/drawing/2014/chart" uri="{C3380CC4-5D6E-409C-BE32-E72D297353CC}">
              <c16:uniqueId val="{00000000-5C57-45C7-BC77-545918DCFC38}"/>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numFmt formatCode="General" sourceLinked="1"/>
        <c:majorTickMark val="out"/>
        <c:minorTickMark val="none"/>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1"/>
        <c:axPos val="l"/>
        <c:numFmt formatCode="General" sourceLinked="1"/>
        <c:majorTickMark val="out"/>
        <c:minorTickMark val="none"/>
        <c:tickLblPos val="nextTo"/>
        <c:crossAx val="10"/>
        <c:crosses val="autoZero"/>
        <c:crossBetween val="between"/>
      </c:valAx>
      <c:spPr>
        <a:solidFill>
          <a:schemeClr val="bg1"/>
        </a:solidFill>
        <a:ln>
          <a:noFill/>
        </a:ln>
        <a:effectLst/>
      </c:spPr>
    </c:plotArea>
    <c:plotVisOnly val="1"/>
    <c:dispBlanksAs val="gap"/>
    <c:showDLblsOverMax val="1"/>
  </c:chart>
  <c:spPr>
    <a:solidFill>
      <a:schemeClr val="bg1"/>
    </a:solidFill>
    <a:ln w="9525" cap="flat" cmpd="sng" algn="ctr">
      <a:solidFill>
        <a:schemeClr val="bg2"/>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t>Monthly Profit Trend</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3301464774666055"/>
          <c:y val="3.334164912554248E-2"/>
          <c:w val="0.84056115018101618"/>
          <c:h val="0.81434552116628989"/>
        </c:manualLayout>
      </c:layout>
      <c:lineChart>
        <c:grouping val="standard"/>
        <c:varyColors val="1"/>
        <c:ser>
          <c:idx val="0"/>
          <c:order val="0"/>
          <c:tx>
            <c:strRef>
              <c:f>MonthlyTrend!$F$2</c:f>
              <c:strCache>
                <c:ptCount val="1"/>
                <c:pt idx="0">
                  <c:v>TotalProfit</c:v>
                </c:pt>
              </c:strCache>
            </c:strRef>
          </c:tx>
          <c:marker>
            <c:symbol val="none"/>
          </c:marker>
          <c:dPt>
            <c:idx val="0"/>
            <c:bubble3D val="0"/>
            <c:spPr>
              <a:ln w="28575" cap="rnd" cmpd="sng" algn="ctr">
                <a:solidFill>
                  <a:schemeClr val="accent5">
                    <a:shade val="40000"/>
                    <a:shade val="95000"/>
                    <a:satMod val="105000"/>
                  </a:schemeClr>
                </a:solidFill>
                <a:prstDash val="solid"/>
                <a:round/>
              </a:ln>
              <a:effectLst/>
            </c:spPr>
            <c:extLst>
              <c:ext xmlns:c16="http://schemas.microsoft.com/office/drawing/2014/chart" uri="{C3380CC4-5D6E-409C-BE32-E72D297353CC}">
                <c16:uniqueId val="{00000001-C1EC-4AB3-971A-DBC7246E82EB}"/>
              </c:ext>
            </c:extLst>
          </c:dPt>
          <c:dPt>
            <c:idx val="1"/>
            <c:bubble3D val="0"/>
            <c:spPr>
              <a:ln w="28575" cap="rnd" cmpd="sng" algn="ctr">
                <a:solidFill>
                  <a:schemeClr val="accent5">
                    <a:shade val="51000"/>
                    <a:shade val="95000"/>
                    <a:satMod val="105000"/>
                  </a:schemeClr>
                </a:solidFill>
                <a:prstDash val="solid"/>
                <a:round/>
              </a:ln>
              <a:effectLst/>
            </c:spPr>
            <c:extLst>
              <c:ext xmlns:c16="http://schemas.microsoft.com/office/drawing/2014/chart" uri="{C3380CC4-5D6E-409C-BE32-E72D297353CC}">
                <c16:uniqueId val="{00000003-C1EC-4AB3-971A-DBC7246E82EB}"/>
              </c:ext>
            </c:extLst>
          </c:dPt>
          <c:dPt>
            <c:idx val="2"/>
            <c:bubble3D val="0"/>
            <c:spPr>
              <a:ln w="28575" cap="rnd" cmpd="sng" algn="ctr">
                <a:solidFill>
                  <a:schemeClr val="accent5">
                    <a:shade val="62000"/>
                    <a:shade val="95000"/>
                    <a:satMod val="105000"/>
                  </a:schemeClr>
                </a:solidFill>
                <a:prstDash val="solid"/>
                <a:round/>
              </a:ln>
              <a:effectLst/>
            </c:spPr>
            <c:extLst>
              <c:ext xmlns:c16="http://schemas.microsoft.com/office/drawing/2014/chart" uri="{C3380CC4-5D6E-409C-BE32-E72D297353CC}">
                <c16:uniqueId val="{00000005-C1EC-4AB3-971A-DBC7246E82EB}"/>
              </c:ext>
            </c:extLst>
          </c:dPt>
          <c:dPt>
            <c:idx val="3"/>
            <c:bubble3D val="0"/>
            <c:spPr>
              <a:ln w="28575" cap="rnd" cmpd="sng" algn="ctr">
                <a:solidFill>
                  <a:schemeClr val="accent5">
                    <a:shade val="73000"/>
                    <a:shade val="95000"/>
                    <a:satMod val="105000"/>
                  </a:schemeClr>
                </a:solidFill>
                <a:prstDash val="solid"/>
                <a:round/>
              </a:ln>
              <a:effectLst/>
            </c:spPr>
            <c:extLst>
              <c:ext xmlns:c16="http://schemas.microsoft.com/office/drawing/2014/chart" uri="{C3380CC4-5D6E-409C-BE32-E72D297353CC}">
                <c16:uniqueId val="{00000007-C1EC-4AB3-971A-DBC7246E82EB}"/>
              </c:ext>
            </c:extLst>
          </c:dPt>
          <c:dPt>
            <c:idx val="4"/>
            <c:bubble3D val="0"/>
            <c:spPr>
              <a:ln w="28575" cap="rnd" cmpd="sng" algn="ctr">
                <a:solidFill>
                  <a:schemeClr val="accent5">
                    <a:shade val="83000"/>
                    <a:shade val="95000"/>
                    <a:satMod val="105000"/>
                  </a:schemeClr>
                </a:solidFill>
                <a:prstDash val="solid"/>
                <a:round/>
              </a:ln>
              <a:effectLst/>
            </c:spPr>
            <c:extLst>
              <c:ext xmlns:c16="http://schemas.microsoft.com/office/drawing/2014/chart" uri="{C3380CC4-5D6E-409C-BE32-E72D297353CC}">
                <c16:uniqueId val="{00000009-C1EC-4AB3-971A-DBC7246E82EB}"/>
              </c:ext>
            </c:extLst>
          </c:dPt>
          <c:dPt>
            <c:idx val="5"/>
            <c:bubble3D val="0"/>
            <c:spPr>
              <a:ln w="28575" cap="rnd" cmpd="sng" algn="ctr">
                <a:solidFill>
                  <a:schemeClr val="accent5">
                    <a:shade val="94000"/>
                    <a:shade val="95000"/>
                    <a:satMod val="105000"/>
                  </a:schemeClr>
                </a:solidFill>
                <a:prstDash val="solid"/>
                <a:round/>
              </a:ln>
              <a:effectLst/>
            </c:spPr>
            <c:extLst>
              <c:ext xmlns:c16="http://schemas.microsoft.com/office/drawing/2014/chart" uri="{C3380CC4-5D6E-409C-BE32-E72D297353CC}">
                <c16:uniqueId val="{0000000B-C1EC-4AB3-971A-DBC7246E82EB}"/>
              </c:ext>
            </c:extLst>
          </c:dPt>
          <c:dPt>
            <c:idx val="6"/>
            <c:bubble3D val="0"/>
            <c:spPr>
              <a:ln w="28575" cap="rnd" cmpd="sng" algn="ctr">
                <a:solidFill>
                  <a:schemeClr val="accent5">
                    <a:tint val="95000"/>
                    <a:shade val="95000"/>
                    <a:satMod val="105000"/>
                  </a:schemeClr>
                </a:solidFill>
                <a:prstDash val="solid"/>
                <a:round/>
              </a:ln>
              <a:effectLst/>
            </c:spPr>
            <c:extLst>
              <c:ext xmlns:c16="http://schemas.microsoft.com/office/drawing/2014/chart" uri="{C3380CC4-5D6E-409C-BE32-E72D297353CC}">
                <c16:uniqueId val="{0000000D-C1EC-4AB3-971A-DBC7246E82EB}"/>
              </c:ext>
            </c:extLst>
          </c:dPt>
          <c:dPt>
            <c:idx val="7"/>
            <c:bubble3D val="0"/>
            <c:spPr>
              <a:ln w="28575" cap="rnd" cmpd="sng" algn="ctr">
                <a:solidFill>
                  <a:schemeClr val="accent5">
                    <a:tint val="84000"/>
                    <a:shade val="95000"/>
                    <a:satMod val="105000"/>
                  </a:schemeClr>
                </a:solidFill>
                <a:prstDash val="solid"/>
                <a:round/>
              </a:ln>
              <a:effectLst/>
            </c:spPr>
            <c:extLst>
              <c:ext xmlns:c16="http://schemas.microsoft.com/office/drawing/2014/chart" uri="{C3380CC4-5D6E-409C-BE32-E72D297353CC}">
                <c16:uniqueId val="{0000000F-C1EC-4AB3-971A-DBC7246E82EB}"/>
              </c:ext>
            </c:extLst>
          </c:dPt>
          <c:dPt>
            <c:idx val="8"/>
            <c:bubble3D val="0"/>
            <c:spPr>
              <a:ln w="28575" cap="rnd" cmpd="sng" algn="ctr">
                <a:solidFill>
                  <a:schemeClr val="accent5">
                    <a:tint val="74000"/>
                    <a:shade val="95000"/>
                    <a:satMod val="105000"/>
                  </a:schemeClr>
                </a:solidFill>
                <a:prstDash val="solid"/>
                <a:round/>
              </a:ln>
              <a:effectLst/>
            </c:spPr>
            <c:extLst>
              <c:ext xmlns:c16="http://schemas.microsoft.com/office/drawing/2014/chart" uri="{C3380CC4-5D6E-409C-BE32-E72D297353CC}">
                <c16:uniqueId val="{00000011-C1EC-4AB3-971A-DBC7246E82EB}"/>
              </c:ext>
            </c:extLst>
          </c:dPt>
          <c:dPt>
            <c:idx val="9"/>
            <c:bubble3D val="0"/>
            <c:spPr>
              <a:ln w="28575" cap="rnd" cmpd="sng" algn="ctr">
                <a:solidFill>
                  <a:schemeClr val="accent5">
                    <a:tint val="63000"/>
                    <a:shade val="95000"/>
                    <a:satMod val="105000"/>
                  </a:schemeClr>
                </a:solidFill>
                <a:prstDash val="solid"/>
                <a:round/>
              </a:ln>
              <a:effectLst/>
            </c:spPr>
            <c:extLst>
              <c:ext xmlns:c16="http://schemas.microsoft.com/office/drawing/2014/chart" uri="{C3380CC4-5D6E-409C-BE32-E72D297353CC}">
                <c16:uniqueId val="{00000013-C1EC-4AB3-971A-DBC7246E82EB}"/>
              </c:ext>
            </c:extLst>
          </c:dPt>
          <c:dPt>
            <c:idx val="10"/>
            <c:bubble3D val="0"/>
            <c:spPr>
              <a:ln w="28575" cap="rnd" cmpd="sng" algn="ctr">
                <a:solidFill>
                  <a:schemeClr val="accent5">
                    <a:tint val="52000"/>
                    <a:shade val="95000"/>
                    <a:satMod val="105000"/>
                  </a:schemeClr>
                </a:solidFill>
                <a:prstDash val="solid"/>
                <a:round/>
              </a:ln>
              <a:effectLst/>
            </c:spPr>
            <c:extLst>
              <c:ext xmlns:c16="http://schemas.microsoft.com/office/drawing/2014/chart" uri="{C3380CC4-5D6E-409C-BE32-E72D297353CC}">
                <c16:uniqueId val="{00000015-C1EC-4AB3-971A-DBC7246E82EB}"/>
              </c:ext>
            </c:extLst>
          </c:dPt>
          <c:dPt>
            <c:idx val="11"/>
            <c:bubble3D val="0"/>
            <c:spPr>
              <a:ln w="28575" cap="rnd" cmpd="sng" algn="ctr">
                <a:solidFill>
                  <a:schemeClr val="accent5">
                    <a:tint val="41000"/>
                    <a:shade val="95000"/>
                    <a:satMod val="105000"/>
                  </a:schemeClr>
                </a:solidFill>
                <a:prstDash val="solid"/>
                <a:round/>
              </a:ln>
              <a:effectLst/>
            </c:spPr>
            <c:extLst>
              <c:ext xmlns:c16="http://schemas.microsoft.com/office/drawing/2014/chart" uri="{C3380CC4-5D6E-409C-BE32-E72D297353CC}">
                <c16:uniqueId val="{00000017-C1EC-4AB3-971A-DBC7246E82EB}"/>
              </c:ext>
            </c:extLst>
          </c:dPt>
          <c:cat>
            <c:strRef>
              <c:f>MonthlyTrend!$E$3:$E$14</c:f>
              <c:strCache>
                <c:ptCount val="12"/>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strCache>
            </c:strRef>
          </c:cat>
          <c:val>
            <c:numRef>
              <c:f>MonthlyTrend!$F$3:$F$14</c:f>
              <c:numCache>
                <c:formatCode>General</c:formatCode>
                <c:ptCount val="12"/>
                <c:pt idx="0">
                  <c:v>134090954.51000001</c:v>
                </c:pt>
                <c:pt idx="1">
                  <c:v>111225241.25</c:v>
                </c:pt>
                <c:pt idx="2">
                  <c:v>178264553.88</c:v>
                </c:pt>
                <c:pt idx="3">
                  <c:v>121299946.33</c:v>
                </c:pt>
                <c:pt idx="4">
                  <c:v>139534390.02000001</c:v>
                </c:pt>
                <c:pt idx="5">
                  <c:v>141925193.88</c:v>
                </c:pt>
                <c:pt idx="6">
                  <c:v>148522913.40000001</c:v>
                </c:pt>
                <c:pt idx="7">
                  <c:v>154078309.52000001</c:v>
                </c:pt>
                <c:pt idx="8">
                  <c:v>135034138.18000001</c:v>
                </c:pt>
                <c:pt idx="9">
                  <c:v>160999279.58000001</c:v>
                </c:pt>
                <c:pt idx="10">
                  <c:v>142507731.47999999</c:v>
                </c:pt>
                <c:pt idx="11">
                  <c:v>170774899.91999999</c:v>
                </c:pt>
              </c:numCache>
            </c:numRef>
          </c:val>
          <c:smooth val="1"/>
          <c:extLst>
            <c:ext xmlns:c16="http://schemas.microsoft.com/office/drawing/2014/chart" uri="{C3380CC4-5D6E-409C-BE32-E72D297353CC}">
              <c16:uniqueId val="{00000000-4ED2-4865-A17D-9177E27B73A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out"/>
        <c:minorTickMark val="none"/>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numFmt formatCode="General" sourceLinked="1"/>
        <c:majorTickMark val="out"/>
        <c:minorTickMark val="none"/>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1"/>
    <c:dispBlanksAs val="gap"/>
    <c:showDLblsOverMax val="1"/>
  </c:chart>
  <c:spPr>
    <a:solidFill>
      <a:schemeClr val="bg1"/>
    </a:solidFill>
    <a:ln w="9525" cap="flat" cmpd="sng" algn="ctr">
      <a:solidFill>
        <a:schemeClr val="bg2"/>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t>Cost vs Revenue per Route (Stacked)</a:t>
            </a:r>
          </a:p>
        </c:rich>
      </c:tx>
      <c:overlay val="1"/>
      <c:spPr>
        <a:noFill/>
        <a:ln>
          <a:noFill/>
        </a:ln>
        <a:effectLst/>
      </c:spPr>
    </c:title>
    <c:autoTitleDeleted val="0"/>
    <c:plotArea>
      <c:layout>
        <c:manualLayout>
          <c:layoutTarget val="inner"/>
          <c:xMode val="edge"/>
          <c:yMode val="edge"/>
          <c:x val="0.10703486007910983"/>
          <c:y val="3.3877014554748841E-2"/>
          <c:w val="0.8749080796103087"/>
          <c:h val="0.93224597089050232"/>
        </c:manualLayout>
      </c:layout>
      <c:barChart>
        <c:barDir val="bar"/>
        <c:grouping val="clustered"/>
        <c:varyColors val="1"/>
        <c:ser>
          <c:idx val="0"/>
          <c:order val="0"/>
          <c:tx>
            <c:strRef>
              <c:f>CostVsRevenue!$B$2</c:f>
              <c:strCache>
                <c:ptCount val="1"/>
                <c:pt idx="0">
                  <c:v>AvgRevenue</c:v>
                </c:pt>
              </c:strCache>
            </c:strRef>
          </c:tx>
          <c:spPr>
            <a:solidFill>
              <a:srgbClr val="4198AF"/>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CostVsRevenue!$A$3:$A$22</c:f>
              <c:strCache>
                <c:ptCount val="20"/>
                <c:pt idx="0">
                  <c:v>BOM-BKK</c:v>
                </c:pt>
                <c:pt idx="1">
                  <c:v>BOM-DXB</c:v>
                </c:pt>
                <c:pt idx="2">
                  <c:v>DEL-CDG</c:v>
                </c:pt>
                <c:pt idx="3">
                  <c:v>HYD-DXB</c:v>
                </c:pt>
                <c:pt idx="4">
                  <c:v>BOM-NRT</c:v>
                </c:pt>
                <c:pt idx="5">
                  <c:v>BLR-SIN</c:v>
                </c:pt>
                <c:pt idx="6">
                  <c:v>DEL-FRA</c:v>
                </c:pt>
                <c:pt idx="7">
                  <c:v>MAA-CMB</c:v>
                </c:pt>
                <c:pt idx="8">
                  <c:v>DEL-LHR</c:v>
                </c:pt>
                <c:pt idx="9">
                  <c:v>CCU-KUL</c:v>
                </c:pt>
                <c:pt idx="10">
                  <c:v>DEL-AMD</c:v>
                </c:pt>
                <c:pt idx="11">
                  <c:v>MAA-BLR</c:v>
                </c:pt>
                <c:pt idx="12">
                  <c:v>DEL-MAA</c:v>
                </c:pt>
                <c:pt idx="13">
                  <c:v>BOM-CCU</c:v>
                </c:pt>
                <c:pt idx="14">
                  <c:v>BLR-HYD</c:v>
                </c:pt>
                <c:pt idx="15">
                  <c:v>HYD-BOM</c:v>
                </c:pt>
                <c:pt idx="16">
                  <c:v>CCU-DEL</c:v>
                </c:pt>
                <c:pt idx="17">
                  <c:v>DEL-BLR</c:v>
                </c:pt>
                <c:pt idx="18">
                  <c:v>BOM-DEL</c:v>
                </c:pt>
                <c:pt idx="19">
                  <c:v>BOM-GOI</c:v>
                </c:pt>
              </c:strCache>
            </c:strRef>
          </c:cat>
          <c:val>
            <c:numRef>
              <c:f>CostVsRevenue!$B$3:$B$22</c:f>
              <c:numCache>
                <c:formatCode>General</c:formatCode>
                <c:ptCount val="20"/>
                <c:pt idx="0">
                  <c:v>4465610.46</c:v>
                </c:pt>
                <c:pt idx="1">
                  <c:v>4360612.1500000004</c:v>
                </c:pt>
                <c:pt idx="2">
                  <c:v>4319132.7300000004</c:v>
                </c:pt>
                <c:pt idx="3">
                  <c:v>4245042.5</c:v>
                </c:pt>
                <c:pt idx="4">
                  <c:v>4205482.3499999996</c:v>
                </c:pt>
                <c:pt idx="5">
                  <c:v>4157483.78</c:v>
                </c:pt>
                <c:pt idx="6">
                  <c:v>4119533.32</c:v>
                </c:pt>
                <c:pt idx="7">
                  <c:v>4060554.67</c:v>
                </c:pt>
                <c:pt idx="8">
                  <c:v>4046901.62</c:v>
                </c:pt>
                <c:pt idx="9">
                  <c:v>3940826.26</c:v>
                </c:pt>
                <c:pt idx="10">
                  <c:v>516471.27</c:v>
                </c:pt>
                <c:pt idx="11">
                  <c:v>514015.35</c:v>
                </c:pt>
                <c:pt idx="12">
                  <c:v>506825.82</c:v>
                </c:pt>
                <c:pt idx="13">
                  <c:v>505053.4</c:v>
                </c:pt>
                <c:pt idx="14">
                  <c:v>491397.68</c:v>
                </c:pt>
                <c:pt idx="15">
                  <c:v>491163.28</c:v>
                </c:pt>
                <c:pt idx="16">
                  <c:v>487320.26</c:v>
                </c:pt>
                <c:pt idx="17">
                  <c:v>486684.12</c:v>
                </c:pt>
                <c:pt idx="18">
                  <c:v>485687.57</c:v>
                </c:pt>
                <c:pt idx="19">
                  <c:v>483415.51</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14:spPr>
              </c14:invertSolidFillFmt>
            </c:ext>
            <c:ext xmlns:c16="http://schemas.microsoft.com/office/drawing/2014/chart" uri="{C3380CC4-5D6E-409C-BE32-E72D297353CC}">
              <c16:uniqueId val="{00000000-F1F7-45CB-A887-1FF755282D37}"/>
            </c:ext>
          </c:extLst>
        </c:ser>
        <c:ser>
          <c:idx val="1"/>
          <c:order val="1"/>
          <c:tx>
            <c:strRef>
              <c:f>CostVsRevenue!$C$2</c:f>
              <c:strCache>
                <c:ptCount val="1"/>
                <c:pt idx="0">
                  <c:v>AvgCost</c:v>
                </c:pt>
              </c:strCache>
            </c:strRef>
          </c:tx>
          <c:spPr>
            <a:solidFill>
              <a:srgbClr val="91C3D5"/>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CostVsRevenue!$A$3:$A$22</c:f>
              <c:strCache>
                <c:ptCount val="20"/>
                <c:pt idx="0">
                  <c:v>BOM-BKK</c:v>
                </c:pt>
                <c:pt idx="1">
                  <c:v>BOM-DXB</c:v>
                </c:pt>
                <c:pt idx="2">
                  <c:v>DEL-CDG</c:v>
                </c:pt>
                <c:pt idx="3">
                  <c:v>HYD-DXB</c:v>
                </c:pt>
                <c:pt idx="4">
                  <c:v>BOM-NRT</c:v>
                </c:pt>
                <c:pt idx="5">
                  <c:v>BLR-SIN</c:v>
                </c:pt>
                <c:pt idx="6">
                  <c:v>DEL-FRA</c:v>
                </c:pt>
                <c:pt idx="7">
                  <c:v>MAA-CMB</c:v>
                </c:pt>
                <c:pt idx="8">
                  <c:v>DEL-LHR</c:v>
                </c:pt>
                <c:pt idx="9">
                  <c:v>CCU-KUL</c:v>
                </c:pt>
                <c:pt idx="10">
                  <c:v>DEL-AMD</c:v>
                </c:pt>
                <c:pt idx="11">
                  <c:v>MAA-BLR</c:v>
                </c:pt>
                <c:pt idx="12">
                  <c:v>DEL-MAA</c:v>
                </c:pt>
                <c:pt idx="13">
                  <c:v>BOM-CCU</c:v>
                </c:pt>
                <c:pt idx="14">
                  <c:v>BLR-HYD</c:v>
                </c:pt>
                <c:pt idx="15">
                  <c:v>HYD-BOM</c:v>
                </c:pt>
                <c:pt idx="16">
                  <c:v>CCU-DEL</c:v>
                </c:pt>
                <c:pt idx="17">
                  <c:v>DEL-BLR</c:v>
                </c:pt>
                <c:pt idx="18">
                  <c:v>BOM-DEL</c:v>
                </c:pt>
                <c:pt idx="19">
                  <c:v>BOM-GOI</c:v>
                </c:pt>
              </c:strCache>
            </c:strRef>
          </c:cat>
          <c:val>
            <c:numRef>
              <c:f>CostVsRevenue!$C$3:$C$22</c:f>
              <c:numCache>
                <c:formatCode>General</c:formatCode>
                <c:ptCount val="20"/>
                <c:pt idx="0">
                  <c:v>3787004.07</c:v>
                </c:pt>
                <c:pt idx="1">
                  <c:v>3744327.29</c:v>
                </c:pt>
                <c:pt idx="2">
                  <c:v>3717541.49</c:v>
                </c:pt>
                <c:pt idx="3">
                  <c:v>3638333.54</c:v>
                </c:pt>
                <c:pt idx="4">
                  <c:v>3569569.71</c:v>
                </c:pt>
                <c:pt idx="5">
                  <c:v>3476697.61</c:v>
                </c:pt>
                <c:pt idx="6">
                  <c:v>3538970.48</c:v>
                </c:pt>
                <c:pt idx="7">
                  <c:v>3507311.1</c:v>
                </c:pt>
                <c:pt idx="8">
                  <c:v>3356893.99</c:v>
                </c:pt>
                <c:pt idx="9">
                  <c:v>3324077.55</c:v>
                </c:pt>
                <c:pt idx="10">
                  <c:v>441686.26</c:v>
                </c:pt>
                <c:pt idx="11">
                  <c:v>431015.47</c:v>
                </c:pt>
                <c:pt idx="12">
                  <c:v>429139.34</c:v>
                </c:pt>
                <c:pt idx="13">
                  <c:v>427055.37</c:v>
                </c:pt>
                <c:pt idx="14">
                  <c:v>420900.46</c:v>
                </c:pt>
                <c:pt idx="15">
                  <c:v>421483.66</c:v>
                </c:pt>
                <c:pt idx="16">
                  <c:v>423044.29</c:v>
                </c:pt>
                <c:pt idx="17">
                  <c:v>406057.05</c:v>
                </c:pt>
                <c:pt idx="18">
                  <c:v>419812.87</c:v>
                </c:pt>
                <c:pt idx="19">
                  <c:v>419055.04</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shade val="95000"/>
                        <a:satMod val="105000"/>
                      </a:schemeClr>
                    </a:solidFill>
                    <a:prstDash val="solid"/>
                    <a:round/>
                  </a:ln>
                  <a:effectLst>
                    <a:outerShdw blurRad="40000" dist="20000" dir="5400000" rotWithShape="0">
                      <a:srgbClr val="000000">
                        <a:alpha val="38000"/>
                      </a:srgbClr>
                    </a:outerShdw>
                  </a:effectLst>
                </c14:spPr>
              </c14:invertSolidFillFmt>
            </c:ext>
            <c:ext xmlns:c16="http://schemas.microsoft.com/office/drawing/2014/chart" uri="{C3380CC4-5D6E-409C-BE32-E72D297353CC}">
              <c16:uniqueId val="{00000001-F1F7-45CB-A887-1FF755282D37}"/>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l"/>
        <c:numFmt formatCode="General" sourceLinked="1"/>
        <c:majorTickMark val="out"/>
        <c:minorTickMark val="none"/>
        <c:tickLblPos val="nextTo"/>
        <c:spPr>
          <a:noFill/>
          <a:ln w="9525" cap="flat" cmpd="sng" algn="ctr">
            <a:solidFill>
              <a:schemeClr val="tx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1"/>
        <c:axPos val="b"/>
        <c:numFmt formatCode="General" sourceLinked="1"/>
        <c:majorTickMark val="out"/>
        <c:minorTickMark val="none"/>
        <c:tickLblPos val="nextTo"/>
        <c:crossAx val="10"/>
        <c:crosses val="autoZero"/>
        <c:crossBetween val="between"/>
      </c:valAx>
      <c:spPr>
        <a:solidFill>
          <a:schemeClr val="bg1"/>
        </a:solidFill>
        <a:ln>
          <a:noFill/>
        </a:ln>
        <a:effectLst/>
      </c:spPr>
    </c:plotArea>
    <c:legend>
      <c:legendPos val="r"/>
      <c:layout>
        <c:manualLayout>
          <c:xMode val="edge"/>
          <c:yMode val="edge"/>
          <c:x val="0.83501292430537188"/>
          <c:y val="6.4781631156399594E-2"/>
          <c:w val="0.12165013094923265"/>
          <c:h val="7.3868110236220474E-2"/>
        </c:manualLayout>
      </c:layout>
      <c:overlay val="1"/>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bg2"/>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Average Seat Occupancy (Percentage)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pieChart>
        <c:varyColors val="1"/>
        <c:ser>
          <c:idx val="0"/>
          <c:order val="0"/>
          <c:tx>
            <c:strRef>
              <c:f>OccupancyDonut!$B$2</c:f>
              <c:strCache>
                <c:ptCount val="1"/>
                <c:pt idx="0">
                  <c:v>Percentage</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1F90-4AA6-904A-F3EF568E6D23}"/>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1F90-4AA6-904A-F3EF568E6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OccupancyDonut!$A$3:$A$4</c:f>
              <c:strCache>
                <c:ptCount val="2"/>
                <c:pt idx="0">
                  <c:v>Seats Sold</c:v>
                </c:pt>
                <c:pt idx="1">
                  <c:v>Seats Empty</c:v>
                </c:pt>
              </c:strCache>
            </c:strRef>
          </c:cat>
          <c:val>
            <c:numRef>
              <c:f>OccupancyDonut!$B$3:$B$4</c:f>
              <c:numCache>
                <c:formatCode>General</c:formatCode>
                <c:ptCount val="2"/>
                <c:pt idx="0">
                  <c:v>71.209999999999994</c:v>
                </c:pt>
                <c:pt idx="1">
                  <c:v>28.79</c:v>
                </c:pt>
              </c:numCache>
            </c:numRef>
          </c:val>
          <c:extLst>
            <c:ext xmlns:c16="http://schemas.microsoft.com/office/drawing/2014/chart" uri="{C3380CC4-5D6E-409C-BE32-E72D297353CC}">
              <c16:uniqueId val="{00000004-1F90-4AA6-904A-F3EF568E6D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bg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13</xdr:col>
      <xdr:colOff>190499</xdr:colOff>
      <xdr:row>2</xdr:row>
      <xdr:rowOff>167640</xdr:rowOff>
    </xdr:from>
    <xdr:ext cx="5974773" cy="421386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320040</xdr:colOff>
      <xdr:row>3</xdr:row>
      <xdr:rowOff>15240</xdr:rowOff>
    </xdr:from>
    <xdr:ext cx="6964680" cy="294132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274320</xdr:colOff>
      <xdr:row>20</xdr:row>
      <xdr:rowOff>60960</xdr:rowOff>
    </xdr:from>
    <xdr:ext cx="7033260" cy="621792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xdr:from>
      <xdr:col>13</xdr:col>
      <xdr:colOff>230909</xdr:colOff>
      <xdr:row>27</xdr:row>
      <xdr:rowOff>0</xdr:rowOff>
    </xdr:from>
    <xdr:to>
      <xdr:col>23</xdr:col>
      <xdr:colOff>34636</xdr:colOff>
      <xdr:row>54</xdr:row>
      <xdr:rowOff>11545</xdr:rowOff>
    </xdr:to>
    <xdr:graphicFrame macro="">
      <xdr:nvGraphicFramePr>
        <xdr:cNvPr id="6" name="Chart 5">
          <a:extLst>
            <a:ext uri="{FF2B5EF4-FFF2-40B4-BE49-F238E27FC236}">
              <a16:creationId xmlns:a16="http://schemas.microsoft.com/office/drawing/2014/main" id="{86F48125-6F54-4F6A-A710-3DE77E528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23</xdr:col>
      <xdr:colOff>311727</xdr:colOff>
      <xdr:row>3</xdr:row>
      <xdr:rowOff>11546</xdr:rowOff>
    </xdr:from>
    <xdr:to>
      <xdr:col>26</xdr:col>
      <xdr:colOff>288637</xdr:colOff>
      <xdr:row>22</xdr:row>
      <xdr:rowOff>80817</xdr:rowOff>
    </xdr:to>
    <mc:AlternateContent xmlns:mc="http://schemas.openxmlformats.org/markup-compatibility/2006">
      <mc:Choice xmlns:sle15="http://schemas.microsoft.com/office/drawing/2012/slicer" Requires="sle15">
        <xdr:graphicFrame macro="">
          <xdr:nvGraphicFramePr>
            <xdr:cNvPr id="5" name="YearMonth">
              <a:extLst>
                <a:ext uri="{FF2B5EF4-FFF2-40B4-BE49-F238E27FC236}">
                  <a16:creationId xmlns:a16="http://schemas.microsoft.com/office/drawing/2014/main" id="{7451BEAE-1476-4D2E-973F-F6DCE07126D1}"/>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dr:sp macro="" textlink="">
          <xdr:nvSpPr>
            <xdr:cNvPr id="0" name=""/>
            <xdr:cNvSpPr>
              <a:spLocks noTextEdit="1"/>
            </xdr:cNvSpPr>
          </xdr:nvSpPr>
          <xdr:spPr>
            <a:xfrm>
              <a:off x="14385636" y="646546"/>
              <a:ext cx="1812637" cy="35790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311726</xdr:colOff>
      <xdr:row>23</xdr:row>
      <xdr:rowOff>150091</xdr:rowOff>
    </xdr:from>
    <xdr:to>
      <xdr:col>26</xdr:col>
      <xdr:colOff>304799</xdr:colOff>
      <xdr:row>53</xdr:row>
      <xdr:rowOff>150091</xdr:rowOff>
    </xdr:to>
    <mc:AlternateContent xmlns:mc="http://schemas.openxmlformats.org/markup-compatibility/2006">
      <mc:Choice xmlns:sle15="http://schemas.microsoft.com/office/drawing/2012/slicer" Requires="sle15">
        <xdr:graphicFrame macro="">
          <xdr:nvGraphicFramePr>
            <xdr:cNvPr id="7" name="RouteCode">
              <a:extLst>
                <a:ext uri="{FF2B5EF4-FFF2-40B4-BE49-F238E27FC236}">
                  <a16:creationId xmlns:a16="http://schemas.microsoft.com/office/drawing/2014/main" id="{6B6FBED8-5E0F-4C6C-82CE-3E748E7DA478}"/>
                </a:ext>
              </a:extLst>
            </xdr:cNvPr>
            <xdr:cNvGraphicFramePr/>
          </xdr:nvGraphicFramePr>
          <xdr:xfrm>
            <a:off x="0" y="0"/>
            <a:ext cx="0" cy="0"/>
          </xdr:xfrm>
          <a:graphic>
            <a:graphicData uri="http://schemas.microsoft.com/office/drawing/2010/slicer">
              <sle:slicer xmlns:sle="http://schemas.microsoft.com/office/drawing/2010/slicer" name="RouteCode"/>
            </a:graphicData>
          </a:graphic>
        </xdr:graphicFrame>
      </mc:Choice>
      <mc:Fallback>
        <xdr:sp macro="" textlink="">
          <xdr:nvSpPr>
            <xdr:cNvPr id="0" name=""/>
            <xdr:cNvSpPr>
              <a:spLocks noTextEdit="1"/>
            </xdr:cNvSpPr>
          </xdr:nvSpPr>
          <xdr:spPr>
            <a:xfrm>
              <a:off x="14385635" y="4479636"/>
              <a:ext cx="1828800" cy="55418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Month" xr10:uid="{C326D718-AB23-4CE6-87A6-669093391980}" sourceName="YearMonth">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Code" xr10:uid="{8FC54111-14C1-4CFC-819E-7BA18CC70F54}" sourceName="RouteCode">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270CD9B8-7465-48F1-A8DB-8D993BCD350B}" cache="Slicer_YearMonth" caption="YearMonth" style="SlicerStyleLight5" rowHeight="234950"/>
  <slicer name="RouteCode" xr10:uid="{789B7223-2D0D-411C-9BC4-0DDFD6BF4752}" cache="Slicer_RouteCode" caption="RouteCode"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34E8E0-969B-47D0-A3BC-4352FF7F009D}" name="Table3" displayName="Table3" ref="A2:D22" totalsRowShown="0" headerRowDxfId="3" dataDxfId="4">
  <autoFilter ref="A2:D22" xr:uid="{AE34E8E0-969B-47D0-A3BC-4352FF7F009D}"/>
  <tableColumns count="4">
    <tableColumn id="1" xr3:uid="{4DF9DC86-B6FC-4704-8309-57A5E8286852}" name="RouteCode" dataDxfId="8"/>
    <tableColumn id="2" xr3:uid="{9ADFC479-BA15-4BCC-ABD1-7E50CE985524}" name="AvgRevenue" dataDxfId="7"/>
    <tableColumn id="3" xr3:uid="{2F6328B3-1DC7-496F-82C0-1EDDB89942EE}" name="AvgCost" dataDxfId="6"/>
    <tableColumn id="4" xr3:uid="{48544E7D-533F-4ABC-8AD8-6B111EDDB6B0}" name="AvgProfit"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402143-DC1E-49C0-B989-178FC73B5EB6}" name="Table1" displayName="Table1" ref="E2:F14" totalsRowShown="0" headerRowDxfId="9" dataDxfId="0">
  <autoFilter ref="E2:F14" xr:uid="{60402143-DC1E-49C0-B989-178FC73B5EB6}"/>
  <tableColumns count="2">
    <tableColumn id="1" xr3:uid="{52F41E03-1480-41AE-8D5C-804B6AFECDBF}" name="YearMonth" dataDxfId="2"/>
    <tableColumn id="2" xr3:uid="{53EE146B-1F82-42FB-BE52-827C3E597CB3}" name="TotalProfit"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2"/>
  <sheetViews>
    <sheetView showGridLines="0" tabSelected="1" zoomScale="66" workbookViewId="0">
      <selection activeCell="AD23" sqref="AD23"/>
    </sheetView>
  </sheetViews>
  <sheetFormatPr defaultRowHeight="14.4" x14ac:dyDescent="0.3"/>
  <sheetData>
    <row r="2" spans="2:27" ht="21" x14ac:dyDescent="0.4">
      <c r="B2" s="4" t="s">
        <v>0</v>
      </c>
      <c r="C2" s="4"/>
      <c r="D2" s="4"/>
      <c r="E2" s="4"/>
      <c r="F2" s="4"/>
      <c r="G2" s="4"/>
      <c r="H2" s="4"/>
      <c r="I2" s="4"/>
      <c r="J2" s="4"/>
      <c r="K2" s="4"/>
      <c r="L2" s="4"/>
      <c r="M2" s="4"/>
      <c r="N2" s="4"/>
      <c r="O2" s="4"/>
      <c r="P2" s="4"/>
      <c r="Q2" s="4"/>
      <c r="R2" s="4"/>
      <c r="S2" s="4"/>
      <c r="T2" s="4"/>
      <c r="U2" s="4"/>
      <c r="V2" s="4"/>
      <c r="W2" s="4"/>
      <c r="X2" s="4"/>
      <c r="Y2" s="4"/>
      <c r="Z2" s="4"/>
      <c r="AA2" s="4"/>
    </row>
  </sheetData>
  <mergeCells count="1">
    <mergeCell ref="B2:AA2"/>
  </mergeCells>
  <pageMargins left="0.75" right="0.75" top="1" bottom="1" header="0.5" footer="0.5"/>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sqref="A1:B1"/>
    </sheetView>
  </sheetViews>
  <sheetFormatPr defaultRowHeight="14.4" x14ac:dyDescent="0.3"/>
  <cols>
    <col min="1" max="1" width="30" customWidth="1"/>
    <col min="2" max="2" width="16" customWidth="1"/>
  </cols>
  <sheetData>
    <row r="1" spans="1:2" ht="17.399999999999999" x14ac:dyDescent="0.35">
      <c r="A1" s="5" t="s">
        <v>1</v>
      </c>
      <c r="B1" s="6"/>
    </row>
    <row r="2" spans="1:2" x14ac:dyDescent="0.3">
      <c r="A2" s="1" t="s">
        <v>2</v>
      </c>
      <c r="B2" s="1" t="s">
        <v>3</v>
      </c>
    </row>
    <row r="3" spans="1:2" x14ac:dyDescent="0.3">
      <c r="A3" t="s">
        <v>4</v>
      </c>
      <c r="B3">
        <v>280</v>
      </c>
    </row>
    <row r="4" spans="1:2" x14ac:dyDescent="0.3">
      <c r="A4" s="2" t="s">
        <v>5</v>
      </c>
      <c r="B4" s="2">
        <v>280</v>
      </c>
    </row>
    <row r="5" spans="1:2" x14ac:dyDescent="0.3">
      <c r="A5" t="s">
        <v>6</v>
      </c>
      <c r="B5">
        <v>271</v>
      </c>
    </row>
    <row r="6" spans="1:2" x14ac:dyDescent="0.3">
      <c r="A6" s="2" t="s">
        <v>7</v>
      </c>
      <c r="B6" s="2">
        <v>268</v>
      </c>
    </row>
    <row r="7" spans="1:2" x14ac:dyDescent="0.3">
      <c r="A7" t="s">
        <v>8</v>
      </c>
      <c r="B7">
        <v>265</v>
      </c>
    </row>
    <row r="8" spans="1:2" x14ac:dyDescent="0.3">
      <c r="A8" s="2" t="s">
        <v>9</v>
      </c>
      <c r="B8" s="2">
        <v>264</v>
      </c>
    </row>
    <row r="9" spans="1:2" x14ac:dyDescent="0.3">
      <c r="A9" t="s">
        <v>10</v>
      </c>
      <c r="B9">
        <v>263</v>
      </c>
    </row>
    <row r="10" spans="1:2" x14ac:dyDescent="0.3">
      <c r="A10" s="2" t="s">
        <v>11</v>
      </c>
      <c r="B10" s="2">
        <v>260</v>
      </c>
    </row>
    <row r="11" spans="1:2" x14ac:dyDescent="0.3">
      <c r="A11" t="s">
        <v>12</v>
      </c>
      <c r="B11">
        <v>253</v>
      </c>
    </row>
    <row r="12" spans="1:2" x14ac:dyDescent="0.3">
      <c r="A12" s="2" t="s">
        <v>13</v>
      </c>
      <c r="B12" s="2">
        <v>249</v>
      </c>
    </row>
  </sheetData>
  <sheetProtection algorithmName="SHA-512" hashValue="vnJwgKKgDUGGGqXCo5eb8jjB9usnWKWFKlGoot4ZfAGqm+vzLwLINUG3AhKP4i0LDDqEon2L/5HV4EVTgcEIBQ==" saltValue="2MX4XydKpuqsYxhDU+L59A==" spinCount="100000" sheet="1" objects="1" scenarios="1" selectLockedCells="1" selectUnlockedCells="1"/>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election activeCell="J13" sqref="J13"/>
    </sheetView>
  </sheetViews>
  <sheetFormatPr defaultRowHeight="14.4" x14ac:dyDescent="0.3"/>
  <cols>
    <col min="1" max="1" width="30" customWidth="1"/>
    <col min="2" max="3" width="14" customWidth="1"/>
    <col min="4" max="4" width="13" customWidth="1"/>
  </cols>
  <sheetData>
    <row r="1" spans="1:4" ht="17.399999999999999" x14ac:dyDescent="0.35">
      <c r="A1" s="5" t="s">
        <v>14</v>
      </c>
      <c r="B1" s="6"/>
      <c r="C1" s="6"/>
      <c r="D1" s="6"/>
    </row>
    <row r="2" spans="1:4" x14ac:dyDescent="0.3">
      <c r="A2" s="1" t="s">
        <v>2</v>
      </c>
      <c r="B2" s="1" t="s">
        <v>15</v>
      </c>
      <c r="C2" s="1" t="s">
        <v>16</v>
      </c>
      <c r="D2" s="1" t="s">
        <v>17</v>
      </c>
    </row>
    <row r="3" spans="1:4" x14ac:dyDescent="0.3">
      <c r="A3" t="s">
        <v>18</v>
      </c>
      <c r="B3">
        <v>4046901.62</v>
      </c>
      <c r="C3">
        <v>3356893.99</v>
      </c>
      <c r="D3">
        <v>690007.63</v>
      </c>
    </row>
    <row r="4" spans="1:4" x14ac:dyDescent="0.3">
      <c r="A4" s="2" t="s">
        <v>19</v>
      </c>
      <c r="B4" s="2">
        <v>4157483.78</v>
      </c>
      <c r="C4" s="2">
        <v>3476697.61</v>
      </c>
      <c r="D4" s="2">
        <v>680786.17</v>
      </c>
    </row>
    <row r="5" spans="1:4" x14ac:dyDescent="0.3">
      <c r="A5" t="s">
        <v>7</v>
      </c>
      <c r="B5">
        <v>4465610.46</v>
      </c>
      <c r="C5">
        <v>3787004.07</v>
      </c>
      <c r="D5">
        <v>678606.39</v>
      </c>
    </row>
    <row r="6" spans="1:4" x14ac:dyDescent="0.3">
      <c r="A6" s="2" t="s">
        <v>13</v>
      </c>
      <c r="B6" s="2">
        <v>4205482.3499999996</v>
      </c>
      <c r="C6" s="2">
        <v>3569569.71</v>
      </c>
      <c r="D6" s="2">
        <v>635912.64</v>
      </c>
    </row>
    <row r="7" spans="1:4" x14ac:dyDescent="0.3">
      <c r="A7" t="s">
        <v>20</v>
      </c>
      <c r="B7">
        <v>3940826.26</v>
      </c>
      <c r="C7">
        <v>3324077.55</v>
      </c>
      <c r="D7">
        <v>616748.71</v>
      </c>
    </row>
    <row r="8" spans="1:4" x14ac:dyDescent="0.3">
      <c r="A8" s="2" t="s">
        <v>21</v>
      </c>
      <c r="B8" s="2">
        <v>4360612.1500000004</v>
      </c>
      <c r="C8" s="2">
        <v>3744327.29</v>
      </c>
      <c r="D8" s="2">
        <v>616284.86</v>
      </c>
    </row>
    <row r="9" spans="1:4" x14ac:dyDescent="0.3">
      <c r="A9" t="s">
        <v>6</v>
      </c>
      <c r="B9">
        <v>4245042.5</v>
      </c>
      <c r="C9">
        <v>3638333.54</v>
      </c>
      <c r="D9">
        <v>606708.96</v>
      </c>
    </row>
    <row r="10" spans="1:4" x14ac:dyDescent="0.3">
      <c r="A10" s="2" t="s">
        <v>22</v>
      </c>
      <c r="B10" s="2">
        <v>4319132.7300000004</v>
      </c>
      <c r="C10" s="2">
        <v>3717541.49</v>
      </c>
      <c r="D10" s="2">
        <v>601591.23</v>
      </c>
    </row>
    <row r="11" spans="1:4" x14ac:dyDescent="0.3">
      <c r="A11" t="s">
        <v>10</v>
      </c>
      <c r="B11">
        <v>4119533.32</v>
      </c>
      <c r="C11">
        <v>3538970.48</v>
      </c>
      <c r="D11">
        <v>580562.85</v>
      </c>
    </row>
    <row r="12" spans="1:4" x14ac:dyDescent="0.3">
      <c r="A12" s="2" t="s">
        <v>9</v>
      </c>
      <c r="B12" s="2">
        <v>4060554.67</v>
      </c>
      <c r="C12" s="2">
        <v>3507311.1</v>
      </c>
      <c r="D12" s="2">
        <v>553243.56999999995</v>
      </c>
    </row>
    <row r="13" spans="1:4" x14ac:dyDescent="0.3">
      <c r="A13" t="s">
        <v>12</v>
      </c>
      <c r="B13">
        <v>514015.35</v>
      </c>
      <c r="C13">
        <v>431015.47</v>
      </c>
      <c r="D13">
        <v>82999.87</v>
      </c>
    </row>
    <row r="14" spans="1:4" x14ac:dyDescent="0.3">
      <c r="A14" s="2" t="s">
        <v>23</v>
      </c>
      <c r="B14" s="2">
        <v>486684.12</v>
      </c>
      <c r="C14" s="2">
        <v>406057.05</v>
      </c>
      <c r="D14" s="2">
        <v>80627.070000000007</v>
      </c>
    </row>
    <row r="15" spans="1:4" x14ac:dyDescent="0.3">
      <c r="A15" t="s">
        <v>4</v>
      </c>
      <c r="B15">
        <v>505053.4</v>
      </c>
      <c r="C15">
        <v>427055.37</v>
      </c>
      <c r="D15">
        <v>77998.039999999994</v>
      </c>
    </row>
    <row r="16" spans="1:4" x14ac:dyDescent="0.3">
      <c r="A16" s="2" t="s">
        <v>5</v>
      </c>
      <c r="B16" s="2">
        <v>506825.82</v>
      </c>
      <c r="C16" s="2">
        <v>429139.34</v>
      </c>
      <c r="D16" s="2">
        <v>77686.48</v>
      </c>
    </row>
    <row r="17" spans="1:4" x14ac:dyDescent="0.3">
      <c r="A17" t="s">
        <v>11</v>
      </c>
      <c r="B17">
        <v>516471.27</v>
      </c>
      <c r="C17">
        <v>441686.26</v>
      </c>
      <c r="D17">
        <v>74785.009999999995</v>
      </c>
    </row>
    <row r="18" spans="1:4" x14ac:dyDescent="0.3">
      <c r="A18" s="2" t="s">
        <v>24</v>
      </c>
      <c r="B18" s="2">
        <v>491397.68</v>
      </c>
      <c r="C18" s="2">
        <v>420900.46</v>
      </c>
      <c r="D18" s="2">
        <v>70497.210000000006</v>
      </c>
    </row>
    <row r="19" spans="1:4" x14ac:dyDescent="0.3">
      <c r="A19" t="s">
        <v>25</v>
      </c>
      <c r="B19">
        <v>491163.28</v>
      </c>
      <c r="C19">
        <v>421483.66</v>
      </c>
      <c r="D19">
        <v>69679.62</v>
      </c>
    </row>
    <row r="20" spans="1:4" x14ac:dyDescent="0.3">
      <c r="A20" s="2" t="s">
        <v>8</v>
      </c>
      <c r="B20" s="2">
        <v>485687.57</v>
      </c>
      <c r="C20" s="2">
        <v>419812.87</v>
      </c>
      <c r="D20" s="2">
        <v>65874.7</v>
      </c>
    </row>
    <row r="21" spans="1:4" x14ac:dyDescent="0.3">
      <c r="A21" t="s">
        <v>26</v>
      </c>
      <c r="B21">
        <v>483415.51</v>
      </c>
      <c r="C21">
        <v>419055.04</v>
      </c>
      <c r="D21">
        <v>64360.480000000003</v>
      </c>
    </row>
    <row r="22" spans="1:4" x14ac:dyDescent="0.3">
      <c r="A22" s="2" t="s">
        <v>27</v>
      </c>
      <c r="B22" s="2">
        <v>487320.26</v>
      </c>
      <c r="C22" s="2">
        <v>423044.29</v>
      </c>
      <c r="D22" s="2">
        <v>64275.97</v>
      </c>
    </row>
  </sheetData>
  <sheetProtection algorithmName="SHA-512" hashValue="yktouwMYnGTy1vDorLKjRd5Zcyjbm3aOlR0Nl8iYf4enRdnCRyOIfhnUuhKKbAJpygXk4w8P47TL5CgGnPWmbw==" saltValue="NSHipP1nw1JeqXIhzU0RmA==" spinCount="100000" sheet="1" objects="1" scenarios="1" selectLockedCells="1" selectUnlockedCells="1"/>
  <mergeCells count="1">
    <mergeCell ref="A1:D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2"/>
  <sheetViews>
    <sheetView workbookViewId="0">
      <selection activeCell="E28" sqref="E28"/>
    </sheetView>
  </sheetViews>
  <sheetFormatPr defaultRowHeight="14.4" x14ac:dyDescent="0.3"/>
  <cols>
    <col min="1" max="1" width="30" customWidth="1"/>
    <col min="2" max="2" width="13" customWidth="1"/>
    <col min="3" max="3" width="17" customWidth="1"/>
    <col min="5" max="5" width="12.33203125" customWidth="1"/>
    <col min="6" max="6" width="13.44140625" customWidth="1"/>
  </cols>
  <sheetData>
    <row r="1" spans="1:6" ht="17.399999999999999" x14ac:dyDescent="0.35">
      <c r="A1" s="5" t="s">
        <v>28</v>
      </c>
      <c r="B1" s="5"/>
      <c r="C1" s="5"/>
      <c r="D1" s="5"/>
      <c r="E1" s="5"/>
      <c r="F1" s="5"/>
    </row>
    <row r="2" spans="1:6" x14ac:dyDescent="0.3">
      <c r="A2" s="1" t="s">
        <v>2</v>
      </c>
      <c r="B2" s="1" t="s">
        <v>29</v>
      </c>
      <c r="C2" s="1" t="s">
        <v>30</v>
      </c>
      <c r="E2" s="1" t="s">
        <v>29</v>
      </c>
      <c r="F2" s="1" t="s">
        <v>45</v>
      </c>
    </row>
    <row r="3" spans="1:6" x14ac:dyDescent="0.3">
      <c r="A3" t="s">
        <v>24</v>
      </c>
      <c r="B3" t="s">
        <v>31</v>
      </c>
      <c r="C3">
        <v>2107869.4</v>
      </c>
      <c r="E3" t="s">
        <v>31</v>
      </c>
      <c r="F3">
        <v>134090954.51000001</v>
      </c>
    </row>
    <row r="4" spans="1:6" x14ac:dyDescent="0.3">
      <c r="A4" s="2" t="s">
        <v>24</v>
      </c>
      <c r="B4" s="2" t="s">
        <v>32</v>
      </c>
      <c r="C4" s="2">
        <v>1175104.19</v>
      </c>
      <c r="E4" s="2" t="s">
        <v>32</v>
      </c>
      <c r="F4" s="2">
        <v>111225241.25</v>
      </c>
    </row>
    <row r="5" spans="1:6" x14ac:dyDescent="0.3">
      <c r="A5" t="s">
        <v>24</v>
      </c>
      <c r="B5" t="s">
        <v>33</v>
      </c>
      <c r="C5">
        <v>2468246.5499999998</v>
      </c>
      <c r="E5" t="s">
        <v>33</v>
      </c>
      <c r="F5">
        <v>178264553.88</v>
      </c>
    </row>
    <row r="6" spans="1:6" x14ac:dyDescent="0.3">
      <c r="A6" s="2" t="s">
        <v>24</v>
      </c>
      <c r="B6" s="2" t="s">
        <v>34</v>
      </c>
      <c r="C6" s="2">
        <v>820473.95</v>
      </c>
      <c r="E6" s="2" t="s">
        <v>34</v>
      </c>
      <c r="F6" s="2">
        <v>121299946.33</v>
      </c>
    </row>
    <row r="7" spans="1:6" x14ac:dyDescent="0.3">
      <c r="A7" t="s">
        <v>24</v>
      </c>
      <c r="B7" t="s">
        <v>35</v>
      </c>
      <c r="C7">
        <v>1569618.2</v>
      </c>
      <c r="E7" t="s">
        <v>35</v>
      </c>
      <c r="F7">
        <v>139534390.02000001</v>
      </c>
    </row>
    <row r="8" spans="1:6" x14ac:dyDescent="0.3">
      <c r="A8" s="2" t="s">
        <v>24</v>
      </c>
      <c r="B8" s="2" t="s">
        <v>36</v>
      </c>
      <c r="C8" s="2">
        <v>628018.9</v>
      </c>
      <c r="E8" s="2" t="s">
        <v>36</v>
      </c>
      <c r="F8" s="2">
        <v>141925193.88</v>
      </c>
    </row>
    <row r="9" spans="1:6" x14ac:dyDescent="0.3">
      <c r="A9" t="s">
        <v>24</v>
      </c>
      <c r="B9" t="s">
        <v>37</v>
      </c>
      <c r="C9">
        <v>1939075.46</v>
      </c>
      <c r="E9" t="s">
        <v>37</v>
      </c>
      <c r="F9">
        <v>148522913.40000001</v>
      </c>
    </row>
    <row r="10" spans="1:6" x14ac:dyDescent="0.3">
      <c r="A10" s="2" t="s">
        <v>24</v>
      </c>
      <c r="B10" s="2" t="s">
        <v>38</v>
      </c>
      <c r="C10" s="2">
        <v>1660704.85</v>
      </c>
      <c r="E10" s="2" t="s">
        <v>38</v>
      </c>
      <c r="F10" s="2">
        <v>154078309.52000001</v>
      </c>
    </row>
    <row r="11" spans="1:6" x14ac:dyDescent="0.3">
      <c r="A11" t="s">
        <v>24</v>
      </c>
      <c r="B11" t="s">
        <v>39</v>
      </c>
      <c r="C11">
        <v>1080597.75</v>
      </c>
      <c r="E11" t="s">
        <v>39</v>
      </c>
      <c r="F11">
        <v>135034138.18000001</v>
      </c>
    </row>
    <row r="12" spans="1:6" x14ac:dyDescent="0.3">
      <c r="A12" s="2" t="s">
        <v>24</v>
      </c>
      <c r="B12" s="2" t="s">
        <v>40</v>
      </c>
      <c r="C12" s="2">
        <v>1975807.45</v>
      </c>
      <c r="E12" s="2" t="s">
        <v>40</v>
      </c>
      <c r="F12" s="2">
        <v>160999279.58000001</v>
      </c>
    </row>
    <row r="13" spans="1:6" x14ac:dyDescent="0.3">
      <c r="A13" t="s">
        <v>24</v>
      </c>
      <c r="B13" t="s">
        <v>41</v>
      </c>
      <c r="C13">
        <v>806545.87</v>
      </c>
      <c r="E13" t="s">
        <v>41</v>
      </c>
      <c r="F13">
        <v>142507731.47999999</v>
      </c>
    </row>
    <row r="14" spans="1:6" x14ac:dyDescent="0.3">
      <c r="A14" s="2" t="s">
        <v>24</v>
      </c>
      <c r="B14" s="2" t="s">
        <v>42</v>
      </c>
      <c r="C14" s="2">
        <v>757765.59</v>
      </c>
      <c r="E14" s="2" t="s">
        <v>42</v>
      </c>
      <c r="F14" s="2">
        <v>170774899.91999999</v>
      </c>
    </row>
    <row r="15" spans="1:6" x14ac:dyDescent="0.3">
      <c r="A15" t="s">
        <v>19</v>
      </c>
      <c r="B15" t="s">
        <v>31</v>
      </c>
      <c r="C15">
        <v>22282362.84</v>
      </c>
    </row>
    <row r="16" spans="1:6" x14ac:dyDescent="0.3">
      <c r="A16" s="2" t="s">
        <v>19</v>
      </c>
      <c r="B16" s="2" t="s">
        <v>32</v>
      </c>
      <c r="C16" s="2">
        <v>5143563.88</v>
      </c>
    </row>
    <row r="17" spans="1:3" x14ac:dyDescent="0.3">
      <c r="A17" t="s">
        <v>19</v>
      </c>
      <c r="B17" t="s">
        <v>33</v>
      </c>
      <c r="C17">
        <v>18580435.84</v>
      </c>
    </row>
    <row r="18" spans="1:3" x14ac:dyDescent="0.3">
      <c r="A18" s="2" t="s">
        <v>19</v>
      </c>
      <c r="B18" s="2" t="s">
        <v>34</v>
      </c>
      <c r="C18" s="2">
        <v>21250095.140000001</v>
      </c>
    </row>
    <row r="19" spans="1:3" x14ac:dyDescent="0.3">
      <c r="A19" t="s">
        <v>19</v>
      </c>
      <c r="B19" t="s">
        <v>35</v>
      </c>
      <c r="C19">
        <v>9667811.7300000004</v>
      </c>
    </row>
    <row r="20" spans="1:3" x14ac:dyDescent="0.3">
      <c r="A20" s="2" t="s">
        <v>19</v>
      </c>
      <c r="B20" s="2" t="s">
        <v>36</v>
      </c>
      <c r="C20" s="2">
        <v>17244594.940000001</v>
      </c>
    </row>
    <row r="21" spans="1:3" x14ac:dyDescent="0.3">
      <c r="A21" t="s">
        <v>19</v>
      </c>
      <c r="B21" t="s">
        <v>37</v>
      </c>
      <c r="C21">
        <v>12224564.289999999</v>
      </c>
    </row>
    <row r="22" spans="1:3" x14ac:dyDescent="0.3">
      <c r="A22" s="2" t="s">
        <v>19</v>
      </c>
      <c r="B22" s="2" t="s">
        <v>38</v>
      </c>
      <c r="C22" s="2">
        <v>13921372.48</v>
      </c>
    </row>
    <row r="23" spans="1:3" x14ac:dyDescent="0.3">
      <c r="A23" t="s">
        <v>19</v>
      </c>
      <c r="B23" t="s">
        <v>39</v>
      </c>
      <c r="C23">
        <v>6921564.0800000001</v>
      </c>
    </row>
    <row r="24" spans="1:3" x14ac:dyDescent="0.3">
      <c r="A24" s="2" t="s">
        <v>19</v>
      </c>
      <c r="B24" s="2" t="s">
        <v>40</v>
      </c>
      <c r="C24" s="2">
        <v>10153783.18</v>
      </c>
    </row>
    <row r="25" spans="1:3" x14ac:dyDescent="0.3">
      <c r="A25" t="s">
        <v>19</v>
      </c>
      <c r="B25" t="s">
        <v>41</v>
      </c>
      <c r="C25">
        <v>12383678.699999999</v>
      </c>
    </row>
    <row r="26" spans="1:3" x14ac:dyDescent="0.3">
      <c r="A26" s="2" t="s">
        <v>19</v>
      </c>
      <c r="B26" s="2" t="s">
        <v>42</v>
      </c>
      <c r="C26" s="2">
        <v>18380356.859999999</v>
      </c>
    </row>
    <row r="27" spans="1:3" x14ac:dyDescent="0.3">
      <c r="A27" t="s">
        <v>7</v>
      </c>
      <c r="B27" t="s">
        <v>31</v>
      </c>
      <c r="C27">
        <v>12518411.66</v>
      </c>
    </row>
    <row r="28" spans="1:3" x14ac:dyDescent="0.3">
      <c r="A28" s="2" t="s">
        <v>7</v>
      </c>
      <c r="B28" s="2" t="s">
        <v>32</v>
      </c>
      <c r="C28" s="2">
        <v>15712541.449999999</v>
      </c>
    </row>
    <row r="29" spans="1:3" x14ac:dyDescent="0.3">
      <c r="A29" t="s">
        <v>7</v>
      </c>
      <c r="B29" t="s">
        <v>33</v>
      </c>
      <c r="C29">
        <v>13553467.630000001</v>
      </c>
    </row>
    <row r="30" spans="1:3" x14ac:dyDescent="0.3">
      <c r="A30" s="2" t="s">
        <v>7</v>
      </c>
      <c r="B30" s="2" t="s">
        <v>34</v>
      </c>
      <c r="C30" s="2">
        <v>7258557.2599999998</v>
      </c>
    </row>
    <row r="31" spans="1:3" x14ac:dyDescent="0.3">
      <c r="A31" t="s">
        <v>7</v>
      </c>
      <c r="B31" t="s">
        <v>35</v>
      </c>
      <c r="C31">
        <v>11760472.65</v>
      </c>
    </row>
    <row r="32" spans="1:3" x14ac:dyDescent="0.3">
      <c r="A32" s="2" t="s">
        <v>7</v>
      </c>
      <c r="B32" s="2" t="s">
        <v>36</v>
      </c>
      <c r="C32" s="2">
        <v>7244291.21</v>
      </c>
    </row>
    <row r="33" spans="1:3" x14ac:dyDescent="0.3">
      <c r="A33" t="s">
        <v>7</v>
      </c>
      <c r="B33" t="s">
        <v>37</v>
      </c>
      <c r="C33">
        <v>20669899.649999999</v>
      </c>
    </row>
    <row r="34" spans="1:3" x14ac:dyDescent="0.3">
      <c r="A34" s="2" t="s">
        <v>7</v>
      </c>
      <c r="B34" s="2" t="s">
        <v>38</v>
      </c>
      <c r="C34" s="2">
        <v>15554628.67</v>
      </c>
    </row>
    <row r="35" spans="1:3" x14ac:dyDescent="0.3">
      <c r="A35" t="s">
        <v>7</v>
      </c>
      <c r="B35" t="s">
        <v>39</v>
      </c>
      <c r="C35">
        <v>24485485.420000002</v>
      </c>
    </row>
    <row r="36" spans="1:3" x14ac:dyDescent="0.3">
      <c r="A36" s="2" t="s">
        <v>7</v>
      </c>
      <c r="B36" s="2" t="s">
        <v>40</v>
      </c>
      <c r="C36" s="2">
        <v>25777539.91</v>
      </c>
    </row>
    <row r="37" spans="1:3" x14ac:dyDescent="0.3">
      <c r="A37" t="s">
        <v>7</v>
      </c>
      <c r="B37" t="s">
        <v>41</v>
      </c>
      <c r="C37">
        <v>11633465.779999999</v>
      </c>
    </row>
    <row r="38" spans="1:3" x14ac:dyDescent="0.3">
      <c r="A38" s="2" t="s">
        <v>7</v>
      </c>
      <c r="B38" s="2" t="s">
        <v>42</v>
      </c>
      <c r="C38" s="2">
        <v>15697751.810000001</v>
      </c>
    </row>
    <row r="39" spans="1:3" x14ac:dyDescent="0.3">
      <c r="A39" t="s">
        <v>4</v>
      </c>
      <c r="B39" t="s">
        <v>31</v>
      </c>
      <c r="C39">
        <v>2109253.6800000002</v>
      </c>
    </row>
    <row r="40" spans="1:3" x14ac:dyDescent="0.3">
      <c r="A40" s="2" t="s">
        <v>4</v>
      </c>
      <c r="B40" s="2" t="s">
        <v>32</v>
      </c>
      <c r="C40" s="2">
        <v>1245986.93</v>
      </c>
    </row>
    <row r="41" spans="1:3" x14ac:dyDescent="0.3">
      <c r="A41" t="s">
        <v>4</v>
      </c>
      <c r="B41" t="s">
        <v>33</v>
      </c>
      <c r="C41">
        <v>2756995.95</v>
      </c>
    </row>
    <row r="42" spans="1:3" x14ac:dyDescent="0.3">
      <c r="A42" s="2" t="s">
        <v>4</v>
      </c>
      <c r="B42" s="2" t="s">
        <v>34</v>
      </c>
      <c r="C42" s="2">
        <v>1773654.32</v>
      </c>
    </row>
    <row r="43" spans="1:3" x14ac:dyDescent="0.3">
      <c r="A43" t="s">
        <v>4</v>
      </c>
      <c r="B43" t="s">
        <v>35</v>
      </c>
      <c r="C43">
        <v>1704221.29</v>
      </c>
    </row>
    <row r="44" spans="1:3" x14ac:dyDescent="0.3">
      <c r="A44" s="2" t="s">
        <v>4</v>
      </c>
      <c r="B44" s="2" t="s">
        <v>36</v>
      </c>
      <c r="C44" s="2">
        <v>2023673.92</v>
      </c>
    </row>
    <row r="45" spans="1:3" x14ac:dyDescent="0.3">
      <c r="A45" t="s">
        <v>4</v>
      </c>
      <c r="B45" t="s">
        <v>37</v>
      </c>
      <c r="C45">
        <v>1041744.25</v>
      </c>
    </row>
    <row r="46" spans="1:3" x14ac:dyDescent="0.3">
      <c r="A46" s="2" t="s">
        <v>4</v>
      </c>
      <c r="B46" s="2" t="s">
        <v>38</v>
      </c>
      <c r="C46" s="2">
        <v>1421671.75</v>
      </c>
    </row>
    <row r="47" spans="1:3" x14ac:dyDescent="0.3">
      <c r="A47" t="s">
        <v>4</v>
      </c>
      <c r="B47" t="s">
        <v>39</v>
      </c>
      <c r="C47">
        <v>2095167.14</v>
      </c>
    </row>
    <row r="48" spans="1:3" x14ac:dyDescent="0.3">
      <c r="A48" s="2" t="s">
        <v>4</v>
      </c>
      <c r="B48" s="2" t="s">
        <v>40</v>
      </c>
      <c r="C48" s="2">
        <v>1986373.03</v>
      </c>
    </row>
    <row r="49" spans="1:3" x14ac:dyDescent="0.3">
      <c r="A49" t="s">
        <v>4</v>
      </c>
      <c r="B49" t="s">
        <v>41</v>
      </c>
      <c r="C49">
        <v>1789784.02</v>
      </c>
    </row>
    <row r="50" spans="1:3" x14ac:dyDescent="0.3">
      <c r="A50" s="2" t="s">
        <v>4</v>
      </c>
      <c r="B50" s="2" t="s">
        <v>42</v>
      </c>
      <c r="C50" s="2">
        <v>1890924.03</v>
      </c>
    </row>
    <row r="51" spans="1:3" x14ac:dyDescent="0.3">
      <c r="A51" t="s">
        <v>8</v>
      </c>
      <c r="B51" t="s">
        <v>31</v>
      </c>
      <c r="C51">
        <v>1289886.3999999999</v>
      </c>
    </row>
    <row r="52" spans="1:3" x14ac:dyDescent="0.3">
      <c r="A52" s="2" t="s">
        <v>8</v>
      </c>
      <c r="B52" s="2" t="s">
        <v>32</v>
      </c>
      <c r="C52" s="2">
        <v>1990867.64</v>
      </c>
    </row>
    <row r="53" spans="1:3" x14ac:dyDescent="0.3">
      <c r="A53" t="s">
        <v>8</v>
      </c>
      <c r="B53" t="s">
        <v>33</v>
      </c>
      <c r="C53">
        <v>1170243.3799999999</v>
      </c>
    </row>
    <row r="54" spans="1:3" x14ac:dyDescent="0.3">
      <c r="A54" s="2" t="s">
        <v>8</v>
      </c>
      <c r="B54" s="2" t="s">
        <v>34</v>
      </c>
      <c r="C54" s="2">
        <v>907276.93</v>
      </c>
    </row>
    <row r="55" spans="1:3" x14ac:dyDescent="0.3">
      <c r="A55" t="s">
        <v>8</v>
      </c>
      <c r="B55" t="s">
        <v>35</v>
      </c>
      <c r="C55">
        <v>1595259.15</v>
      </c>
    </row>
    <row r="56" spans="1:3" x14ac:dyDescent="0.3">
      <c r="A56" s="2" t="s">
        <v>8</v>
      </c>
      <c r="B56" s="2" t="s">
        <v>36</v>
      </c>
      <c r="C56" s="2">
        <v>1072826.3899999999</v>
      </c>
    </row>
    <row r="57" spans="1:3" x14ac:dyDescent="0.3">
      <c r="A57" t="s">
        <v>8</v>
      </c>
      <c r="B57" t="s">
        <v>37</v>
      </c>
      <c r="C57">
        <v>1116028.76</v>
      </c>
    </row>
    <row r="58" spans="1:3" x14ac:dyDescent="0.3">
      <c r="A58" s="2" t="s">
        <v>8</v>
      </c>
      <c r="B58" s="2" t="s">
        <v>38</v>
      </c>
      <c r="C58" s="2">
        <v>1262515.57</v>
      </c>
    </row>
    <row r="59" spans="1:3" x14ac:dyDescent="0.3">
      <c r="A59" t="s">
        <v>8</v>
      </c>
      <c r="B59" t="s">
        <v>39</v>
      </c>
      <c r="C59">
        <v>1481950.88</v>
      </c>
    </row>
    <row r="60" spans="1:3" x14ac:dyDescent="0.3">
      <c r="A60" s="2" t="s">
        <v>8</v>
      </c>
      <c r="B60" s="2" t="s">
        <v>40</v>
      </c>
      <c r="C60" s="2">
        <v>1910939.6</v>
      </c>
    </row>
    <row r="61" spans="1:3" x14ac:dyDescent="0.3">
      <c r="A61" t="s">
        <v>8</v>
      </c>
      <c r="B61" t="s">
        <v>41</v>
      </c>
      <c r="C61">
        <v>677100.23</v>
      </c>
    </row>
    <row r="62" spans="1:3" x14ac:dyDescent="0.3">
      <c r="A62" s="2" t="s">
        <v>8</v>
      </c>
      <c r="B62" s="2" t="s">
        <v>42</v>
      </c>
      <c r="C62" s="2">
        <v>2981900.35</v>
      </c>
    </row>
    <row r="63" spans="1:3" x14ac:dyDescent="0.3">
      <c r="A63" t="s">
        <v>21</v>
      </c>
      <c r="B63" t="s">
        <v>31</v>
      </c>
      <c r="C63">
        <v>9416611.1600000001</v>
      </c>
    </row>
    <row r="64" spans="1:3" x14ac:dyDescent="0.3">
      <c r="A64" s="2" t="s">
        <v>21</v>
      </c>
      <c r="B64" s="2" t="s">
        <v>32</v>
      </c>
      <c r="C64" s="2">
        <v>7205686.8700000001</v>
      </c>
    </row>
    <row r="65" spans="1:3" x14ac:dyDescent="0.3">
      <c r="A65" t="s">
        <v>21</v>
      </c>
      <c r="B65" t="s">
        <v>33</v>
      </c>
      <c r="C65">
        <v>11385274.52</v>
      </c>
    </row>
    <row r="66" spans="1:3" x14ac:dyDescent="0.3">
      <c r="A66" s="2" t="s">
        <v>21</v>
      </c>
      <c r="B66" s="2" t="s">
        <v>34</v>
      </c>
      <c r="C66" s="2">
        <v>14497901.960000001</v>
      </c>
    </row>
    <row r="67" spans="1:3" x14ac:dyDescent="0.3">
      <c r="A67" t="s">
        <v>21</v>
      </c>
      <c r="B67" t="s">
        <v>35</v>
      </c>
      <c r="C67">
        <v>1058885.53</v>
      </c>
    </row>
    <row r="68" spans="1:3" x14ac:dyDescent="0.3">
      <c r="A68" s="2" t="s">
        <v>21</v>
      </c>
      <c r="B68" s="2" t="s">
        <v>36</v>
      </c>
      <c r="C68" s="2">
        <v>10813296.49</v>
      </c>
    </row>
    <row r="69" spans="1:3" x14ac:dyDescent="0.3">
      <c r="A69" t="s">
        <v>21</v>
      </c>
      <c r="B69" t="s">
        <v>37</v>
      </c>
      <c r="C69">
        <v>13344878.300000001</v>
      </c>
    </row>
    <row r="70" spans="1:3" x14ac:dyDescent="0.3">
      <c r="A70" s="2" t="s">
        <v>21</v>
      </c>
      <c r="B70" s="2" t="s">
        <v>38</v>
      </c>
      <c r="C70" s="2">
        <v>11938141.029999999</v>
      </c>
    </row>
    <row r="71" spans="1:3" x14ac:dyDescent="0.3">
      <c r="A71" t="s">
        <v>21</v>
      </c>
      <c r="B71" t="s">
        <v>39</v>
      </c>
      <c r="C71">
        <v>10285496.5</v>
      </c>
    </row>
    <row r="72" spans="1:3" x14ac:dyDescent="0.3">
      <c r="A72" s="2" t="s">
        <v>21</v>
      </c>
      <c r="B72" s="2" t="s">
        <v>40</v>
      </c>
      <c r="C72" s="2">
        <v>6174521.4699999997</v>
      </c>
    </row>
    <row r="73" spans="1:3" x14ac:dyDescent="0.3">
      <c r="A73" t="s">
        <v>21</v>
      </c>
      <c r="B73" t="s">
        <v>41</v>
      </c>
      <c r="C73">
        <v>14068570.41</v>
      </c>
    </row>
    <row r="74" spans="1:3" x14ac:dyDescent="0.3">
      <c r="A74" s="2" t="s">
        <v>21</v>
      </c>
      <c r="B74" s="2" t="s">
        <v>42</v>
      </c>
      <c r="C74" s="2">
        <v>19230556.550000001</v>
      </c>
    </row>
    <row r="75" spans="1:3" x14ac:dyDescent="0.3">
      <c r="A75" t="s">
        <v>26</v>
      </c>
      <c r="B75" t="s">
        <v>31</v>
      </c>
      <c r="C75">
        <v>1658854.56</v>
      </c>
    </row>
    <row r="76" spans="1:3" x14ac:dyDescent="0.3">
      <c r="A76" s="2" t="s">
        <v>26</v>
      </c>
      <c r="B76" s="2" t="s">
        <v>32</v>
      </c>
      <c r="C76" s="2">
        <v>1404627.78</v>
      </c>
    </row>
    <row r="77" spans="1:3" x14ac:dyDescent="0.3">
      <c r="A77" t="s">
        <v>26</v>
      </c>
      <c r="B77" t="s">
        <v>33</v>
      </c>
      <c r="C77">
        <v>1482153.14</v>
      </c>
    </row>
    <row r="78" spans="1:3" x14ac:dyDescent="0.3">
      <c r="A78" s="2" t="s">
        <v>26</v>
      </c>
      <c r="B78" s="2" t="s">
        <v>34</v>
      </c>
      <c r="C78" s="2">
        <v>1333310.51</v>
      </c>
    </row>
    <row r="79" spans="1:3" x14ac:dyDescent="0.3">
      <c r="A79" t="s">
        <v>26</v>
      </c>
      <c r="B79" t="s">
        <v>35</v>
      </c>
      <c r="C79">
        <v>1925189.78</v>
      </c>
    </row>
    <row r="80" spans="1:3" x14ac:dyDescent="0.3">
      <c r="A80" s="2" t="s">
        <v>26</v>
      </c>
      <c r="B80" s="2" t="s">
        <v>36</v>
      </c>
      <c r="C80" s="2">
        <v>811525.11</v>
      </c>
    </row>
    <row r="81" spans="1:3" x14ac:dyDescent="0.3">
      <c r="A81" t="s">
        <v>26</v>
      </c>
      <c r="B81" t="s">
        <v>37</v>
      </c>
      <c r="C81">
        <v>1948860.48</v>
      </c>
    </row>
    <row r="82" spans="1:3" x14ac:dyDescent="0.3">
      <c r="A82" s="2" t="s">
        <v>26</v>
      </c>
      <c r="B82" s="2" t="s">
        <v>38</v>
      </c>
      <c r="C82" s="2">
        <v>443962.75</v>
      </c>
    </row>
    <row r="83" spans="1:3" x14ac:dyDescent="0.3">
      <c r="A83" t="s">
        <v>26</v>
      </c>
      <c r="B83" t="s">
        <v>39</v>
      </c>
      <c r="C83">
        <v>283802.37</v>
      </c>
    </row>
    <row r="84" spans="1:3" x14ac:dyDescent="0.3">
      <c r="A84" s="2" t="s">
        <v>26</v>
      </c>
      <c r="B84" s="2" t="s">
        <v>40</v>
      </c>
      <c r="C84" s="2">
        <v>2472096.0099999998</v>
      </c>
    </row>
    <row r="85" spans="1:3" x14ac:dyDescent="0.3">
      <c r="A85" t="s">
        <v>26</v>
      </c>
      <c r="B85" t="s">
        <v>41</v>
      </c>
      <c r="C85">
        <v>1015775.92</v>
      </c>
    </row>
    <row r="86" spans="1:3" x14ac:dyDescent="0.3">
      <c r="A86" s="2" t="s">
        <v>26</v>
      </c>
      <c r="B86" s="2" t="s">
        <v>42</v>
      </c>
      <c r="C86" s="2">
        <v>795077.16</v>
      </c>
    </row>
    <row r="87" spans="1:3" x14ac:dyDescent="0.3">
      <c r="A87" t="s">
        <v>13</v>
      </c>
      <c r="B87" t="s">
        <v>31</v>
      </c>
      <c r="C87">
        <v>8262314.3899999997</v>
      </c>
    </row>
    <row r="88" spans="1:3" x14ac:dyDescent="0.3">
      <c r="A88" s="2" t="s">
        <v>13</v>
      </c>
      <c r="B88" s="2" t="s">
        <v>32</v>
      </c>
      <c r="C88" s="2">
        <v>6830730.1900000004</v>
      </c>
    </row>
    <row r="89" spans="1:3" x14ac:dyDescent="0.3">
      <c r="A89" t="s">
        <v>13</v>
      </c>
      <c r="B89" t="s">
        <v>33</v>
      </c>
      <c r="C89">
        <v>25492189.379999999</v>
      </c>
    </row>
    <row r="90" spans="1:3" x14ac:dyDescent="0.3">
      <c r="A90" s="2" t="s">
        <v>13</v>
      </c>
      <c r="B90" s="2" t="s">
        <v>34</v>
      </c>
      <c r="C90" s="2">
        <v>10170950.390000001</v>
      </c>
    </row>
    <row r="91" spans="1:3" x14ac:dyDescent="0.3">
      <c r="A91" t="s">
        <v>13</v>
      </c>
      <c r="B91" t="s">
        <v>35</v>
      </c>
      <c r="C91">
        <v>6658404.9400000004</v>
      </c>
    </row>
    <row r="92" spans="1:3" x14ac:dyDescent="0.3">
      <c r="A92" s="2" t="s">
        <v>13</v>
      </c>
      <c r="B92" s="2" t="s">
        <v>36</v>
      </c>
      <c r="C92" s="2">
        <v>18021011.129999999</v>
      </c>
    </row>
    <row r="93" spans="1:3" x14ac:dyDescent="0.3">
      <c r="A93" t="s">
        <v>13</v>
      </c>
      <c r="B93" t="s">
        <v>37</v>
      </c>
      <c r="C93">
        <v>10388310.73</v>
      </c>
    </row>
    <row r="94" spans="1:3" x14ac:dyDescent="0.3">
      <c r="A94" s="2" t="s">
        <v>13</v>
      </c>
      <c r="B94" s="2" t="s">
        <v>38</v>
      </c>
      <c r="C94" s="2">
        <v>13993984.27</v>
      </c>
    </row>
    <row r="95" spans="1:3" x14ac:dyDescent="0.3">
      <c r="A95" t="s">
        <v>13</v>
      </c>
      <c r="B95" t="s">
        <v>39</v>
      </c>
      <c r="C95">
        <v>11393852.640000001</v>
      </c>
    </row>
    <row r="96" spans="1:3" x14ac:dyDescent="0.3">
      <c r="A96" s="2" t="s">
        <v>13</v>
      </c>
      <c r="B96" s="2" t="s">
        <v>40</v>
      </c>
      <c r="C96" s="2">
        <v>20822096.530000001</v>
      </c>
    </row>
    <row r="97" spans="1:3" x14ac:dyDescent="0.3">
      <c r="A97" t="s">
        <v>13</v>
      </c>
      <c r="B97" t="s">
        <v>41</v>
      </c>
      <c r="C97">
        <v>11252474.58</v>
      </c>
    </row>
    <row r="98" spans="1:3" x14ac:dyDescent="0.3">
      <c r="A98" s="2" t="s">
        <v>13</v>
      </c>
      <c r="B98" s="2" t="s">
        <v>42</v>
      </c>
      <c r="C98" s="2">
        <v>15055928.359999999</v>
      </c>
    </row>
    <row r="99" spans="1:3" x14ac:dyDescent="0.3">
      <c r="A99" t="s">
        <v>27</v>
      </c>
      <c r="B99" t="s">
        <v>31</v>
      </c>
      <c r="C99">
        <v>690911.1</v>
      </c>
    </row>
    <row r="100" spans="1:3" x14ac:dyDescent="0.3">
      <c r="A100" s="2" t="s">
        <v>27</v>
      </c>
      <c r="B100" s="2" t="s">
        <v>32</v>
      </c>
      <c r="C100" s="2">
        <v>844850.53</v>
      </c>
    </row>
    <row r="101" spans="1:3" x14ac:dyDescent="0.3">
      <c r="A101" t="s">
        <v>27</v>
      </c>
      <c r="B101" t="s">
        <v>33</v>
      </c>
      <c r="C101">
        <v>1726783.6</v>
      </c>
    </row>
    <row r="102" spans="1:3" x14ac:dyDescent="0.3">
      <c r="A102" s="2" t="s">
        <v>27</v>
      </c>
      <c r="B102" s="2" t="s">
        <v>34</v>
      </c>
      <c r="C102" s="2">
        <v>956515.09</v>
      </c>
    </row>
    <row r="103" spans="1:3" x14ac:dyDescent="0.3">
      <c r="A103" t="s">
        <v>27</v>
      </c>
      <c r="B103" t="s">
        <v>35</v>
      </c>
      <c r="C103">
        <v>1327019.6200000001</v>
      </c>
    </row>
    <row r="104" spans="1:3" x14ac:dyDescent="0.3">
      <c r="A104" s="2" t="s">
        <v>27</v>
      </c>
      <c r="B104" s="2" t="s">
        <v>36</v>
      </c>
      <c r="C104" s="2">
        <v>954809.85</v>
      </c>
    </row>
    <row r="105" spans="1:3" x14ac:dyDescent="0.3">
      <c r="A105" t="s">
        <v>27</v>
      </c>
      <c r="B105" t="s">
        <v>37</v>
      </c>
      <c r="C105">
        <v>2066269.05</v>
      </c>
    </row>
    <row r="106" spans="1:3" x14ac:dyDescent="0.3">
      <c r="A106" s="2" t="s">
        <v>27</v>
      </c>
      <c r="B106" s="2" t="s">
        <v>38</v>
      </c>
      <c r="C106" s="2">
        <v>1829344.5</v>
      </c>
    </row>
    <row r="107" spans="1:3" x14ac:dyDescent="0.3">
      <c r="A107" t="s">
        <v>27</v>
      </c>
      <c r="B107" t="s">
        <v>39</v>
      </c>
      <c r="C107">
        <v>1040842.48</v>
      </c>
    </row>
    <row r="108" spans="1:3" x14ac:dyDescent="0.3">
      <c r="A108" s="2" t="s">
        <v>27</v>
      </c>
      <c r="B108" s="2" t="s">
        <v>40</v>
      </c>
      <c r="C108" s="2">
        <v>1314596.2</v>
      </c>
    </row>
    <row r="109" spans="1:3" x14ac:dyDescent="0.3">
      <c r="A109" t="s">
        <v>27</v>
      </c>
      <c r="B109" t="s">
        <v>41</v>
      </c>
      <c r="C109">
        <v>1124075.81</v>
      </c>
    </row>
    <row r="110" spans="1:3" x14ac:dyDescent="0.3">
      <c r="A110" s="2" t="s">
        <v>27</v>
      </c>
      <c r="B110" s="2" t="s">
        <v>42</v>
      </c>
      <c r="C110" s="2">
        <v>1421664.09</v>
      </c>
    </row>
    <row r="111" spans="1:3" x14ac:dyDescent="0.3">
      <c r="A111" t="s">
        <v>20</v>
      </c>
      <c r="B111" t="s">
        <v>31</v>
      </c>
      <c r="C111">
        <v>7657873.9000000004</v>
      </c>
    </row>
    <row r="112" spans="1:3" x14ac:dyDescent="0.3">
      <c r="A112" s="2" t="s">
        <v>20</v>
      </c>
      <c r="B112" s="2" t="s">
        <v>32</v>
      </c>
      <c r="C112" s="2">
        <v>9483595.5299999993</v>
      </c>
    </row>
    <row r="113" spans="1:3" x14ac:dyDescent="0.3">
      <c r="A113" t="s">
        <v>20</v>
      </c>
      <c r="B113" t="s">
        <v>33</v>
      </c>
      <c r="C113">
        <v>22425838.260000002</v>
      </c>
    </row>
    <row r="114" spans="1:3" x14ac:dyDescent="0.3">
      <c r="A114" s="2" t="s">
        <v>20</v>
      </c>
      <c r="B114" s="2" t="s">
        <v>34</v>
      </c>
      <c r="C114" s="2">
        <v>7033918.3200000003</v>
      </c>
    </row>
    <row r="115" spans="1:3" x14ac:dyDescent="0.3">
      <c r="A115" t="s">
        <v>20</v>
      </c>
      <c r="B115" t="s">
        <v>35</v>
      </c>
      <c r="C115">
        <v>12689362.92</v>
      </c>
    </row>
    <row r="116" spans="1:3" x14ac:dyDescent="0.3">
      <c r="A116" s="2" t="s">
        <v>20</v>
      </c>
      <c r="B116" s="2" t="s">
        <v>36</v>
      </c>
      <c r="C116" s="2">
        <v>10593197.23</v>
      </c>
    </row>
    <row r="117" spans="1:3" x14ac:dyDescent="0.3">
      <c r="A117" t="s">
        <v>20</v>
      </c>
      <c r="B117" t="s">
        <v>37</v>
      </c>
      <c r="C117">
        <v>6409640.0300000003</v>
      </c>
    </row>
    <row r="118" spans="1:3" x14ac:dyDescent="0.3">
      <c r="A118" s="2" t="s">
        <v>20</v>
      </c>
      <c r="B118" s="2" t="s">
        <v>38</v>
      </c>
      <c r="C118" s="2">
        <v>15059612.890000001</v>
      </c>
    </row>
    <row r="119" spans="1:3" x14ac:dyDescent="0.3">
      <c r="A119" t="s">
        <v>20</v>
      </c>
      <c r="B119" t="s">
        <v>39</v>
      </c>
      <c r="C119">
        <v>9631174.9399999995</v>
      </c>
    </row>
    <row r="120" spans="1:3" x14ac:dyDescent="0.3">
      <c r="A120" s="2" t="s">
        <v>20</v>
      </c>
      <c r="B120" s="2" t="s">
        <v>40</v>
      </c>
      <c r="C120" s="2">
        <v>12121702.51</v>
      </c>
    </row>
    <row r="121" spans="1:3" x14ac:dyDescent="0.3">
      <c r="A121" t="s">
        <v>20</v>
      </c>
      <c r="B121" t="s">
        <v>41</v>
      </c>
      <c r="C121">
        <v>10731246.880000001</v>
      </c>
    </row>
    <row r="122" spans="1:3" x14ac:dyDescent="0.3">
      <c r="A122" s="2" t="s">
        <v>20</v>
      </c>
      <c r="B122" s="2" t="s">
        <v>42</v>
      </c>
      <c r="C122" s="2">
        <v>18631788.260000002</v>
      </c>
    </row>
    <row r="123" spans="1:3" x14ac:dyDescent="0.3">
      <c r="A123" t="s">
        <v>11</v>
      </c>
      <c r="B123" t="s">
        <v>31</v>
      </c>
      <c r="C123">
        <v>1465515.3</v>
      </c>
    </row>
    <row r="124" spans="1:3" x14ac:dyDescent="0.3">
      <c r="A124" s="2" t="s">
        <v>11</v>
      </c>
      <c r="B124" s="2" t="s">
        <v>32</v>
      </c>
      <c r="C124" s="2">
        <v>680679.74</v>
      </c>
    </row>
    <row r="125" spans="1:3" x14ac:dyDescent="0.3">
      <c r="A125" t="s">
        <v>11</v>
      </c>
      <c r="B125" t="s">
        <v>33</v>
      </c>
      <c r="C125">
        <v>819237.06</v>
      </c>
    </row>
    <row r="126" spans="1:3" x14ac:dyDescent="0.3">
      <c r="A126" s="2" t="s">
        <v>11</v>
      </c>
      <c r="B126" s="2" t="s">
        <v>34</v>
      </c>
      <c r="C126" s="2">
        <v>1447313.71</v>
      </c>
    </row>
    <row r="127" spans="1:3" x14ac:dyDescent="0.3">
      <c r="A127" t="s">
        <v>11</v>
      </c>
      <c r="B127" t="s">
        <v>35</v>
      </c>
      <c r="C127">
        <v>2812047.74</v>
      </c>
    </row>
    <row r="128" spans="1:3" x14ac:dyDescent="0.3">
      <c r="A128" s="2" t="s">
        <v>11</v>
      </c>
      <c r="B128" s="2" t="s">
        <v>36</v>
      </c>
      <c r="C128" s="2">
        <v>1565438.72</v>
      </c>
    </row>
    <row r="129" spans="1:3" x14ac:dyDescent="0.3">
      <c r="A129" t="s">
        <v>11</v>
      </c>
      <c r="B129" t="s">
        <v>37</v>
      </c>
      <c r="C129">
        <v>1180379.54</v>
      </c>
    </row>
    <row r="130" spans="1:3" x14ac:dyDescent="0.3">
      <c r="A130" s="2" t="s">
        <v>11</v>
      </c>
      <c r="B130" s="2" t="s">
        <v>38</v>
      </c>
      <c r="C130" s="2">
        <v>1539860.55</v>
      </c>
    </row>
    <row r="131" spans="1:3" x14ac:dyDescent="0.3">
      <c r="A131" t="s">
        <v>11</v>
      </c>
      <c r="B131" t="s">
        <v>39</v>
      </c>
      <c r="C131">
        <v>2456813.0299999998</v>
      </c>
    </row>
    <row r="132" spans="1:3" x14ac:dyDescent="0.3">
      <c r="A132" s="2" t="s">
        <v>11</v>
      </c>
      <c r="B132" s="2" t="s">
        <v>40</v>
      </c>
      <c r="C132" s="2">
        <v>2507608.98</v>
      </c>
    </row>
    <row r="133" spans="1:3" x14ac:dyDescent="0.3">
      <c r="A133" t="s">
        <v>11</v>
      </c>
      <c r="B133" t="s">
        <v>41</v>
      </c>
      <c r="C133">
        <v>1400975.82</v>
      </c>
    </row>
    <row r="134" spans="1:3" x14ac:dyDescent="0.3">
      <c r="A134" s="2" t="s">
        <v>11</v>
      </c>
      <c r="B134" s="2" t="s">
        <v>42</v>
      </c>
      <c r="C134" s="2">
        <v>1568231.66</v>
      </c>
    </row>
    <row r="135" spans="1:3" x14ac:dyDescent="0.3">
      <c r="A135" t="s">
        <v>23</v>
      </c>
      <c r="B135" t="s">
        <v>31</v>
      </c>
      <c r="C135">
        <v>1556583.93</v>
      </c>
    </row>
    <row r="136" spans="1:3" x14ac:dyDescent="0.3">
      <c r="A136" s="2" t="s">
        <v>23</v>
      </c>
      <c r="B136" s="2" t="s">
        <v>32</v>
      </c>
      <c r="C136" s="2">
        <v>2256129.2400000002</v>
      </c>
    </row>
    <row r="137" spans="1:3" x14ac:dyDescent="0.3">
      <c r="A137" t="s">
        <v>23</v>
      </c>
      <c r="B137" t="s">
        <v>33</v>
      </c>
      <c r="C137">
        <v>1778970.25</v>
      </c>
    </row>
    <row r="138" spans="1:3" x14ac:dyDescent="0.3">
      <c r="A138" s="2" t="s">
        <v>23</v>
      </c>
      <c r="B138" s="2" t="s">
        <v>34</v>
      </c>
      <c r="C138" s="2">
        <v>1934431.04</v>
      </c>
    </row>
    <row r="139" spans="1:3" x14ac:dyDescent="0.3">
      <c r="A139" t="s">
        <v>23</v>
      </c>
      <c r="B139" t="s">
        <v>35</v>
      </c>
      <c r="C139">
        <v>753070.64</v>
      </c>
    </row>
    <row r="140" spans="1:3" x14ac:dyDescent="0.3">
      <c r="A140" s="2" t="s">
        <v>23</v>
      </c>
      <c r="B140" s="2" t="s">
        <v>36</v>
      </c>
      <c r="C140" s="2">
        <v>1474251.4</v>
      </c>
    </row>
    <row r="141" spans="1:3" x14ac:dyDescent="0.3">
      <c r="A141" t="s">
        <v>23</v>
      </c>
      <c r="B141" t="s">
        <v>37</v>
      </c>
      <c r="C141">
        <v>2524265.15</v>
      </c>
    </row>
    <row r="142" spans="1:3" x14ac:dyDescent="0.3">
      <c r="A142" s="2" t="s">
        <v>23</v>
      </c>
      <c r="B142" s="2" t="s">
        <v>38</v>
      </c>
      <c r="C142" s="2">
        <v>1547434.12</v>
      </c>
    </row>
    <row r="143" spans="1:3" x14ac:dyDescent="0.3">
      <c r="A143" t="s">
        <v>23</v>
      </c>
      <c r="B143" t="s">
        <v>39</v>
      </c>
      <c r="C143">
        <v>729541.74</v>
      </c>
    </row>
    <row r="144" spans="1:3" x14ac:dyDescent="0.3">
      <c r="A144" s="2" t="s">
        <v>23</v>
      </c>
      <c r="B144" s="2" t="s">
        <v>40</v>
      </c>
      <c r="C144" s="2">
        <v>1196679.42</v>
      </c>
    </row>
    <row r="145" spans="1:3" x14ac:dyDescent="0.3">
      <c r="A145" t="s">
        <v>23</v>
      </c>
      <c r="B145" t="s">
        <v>41</v>
      </c>
      <c r="C145">
        <v>1206065.01</v>
      </c>
    </row>
    <row r="146" spans="1:3" x14ac:dyDescent="0.3">
      <c r="A146" s="2" t="s">
        <v>23</v>
      </c>
      <c r="B146" s="2" t="s">
        <v>42</v>
      </c>
      <c r="C146" s="2">
        <v>1022415.14</v>
      </c>
    </row>
    <row r="147" spans="1:3" x14ac:dyDescent="0.3">
      <c r="A147" t="s">
        <v>22</v>
      </c>
      <c r="B147" t="s">
        <v>31</v>
      </c>
      <c r="C147">
        <v>10740619.060000001</v>
      </c>
    </row>
    <row r="148" spans="1:3" x14ac:dyDescent="0.3">
      <c r="A148" s="2" t="s">
        <v>22</v>
      </c>
      <c r="B148" s="2" t="s">
        <v>32</v>
      </c>
      <c r="C148" s="2">
        <v>4826479.13</v>
      </c>
    </row>
    <row r="149" spans="1:3" x14ac:dyDescent="0.3">
      <c r="A149" t="s">
        <v>22</v>
      </c>
      <c r="B149" t="s">
        <v>33</v>
      </c>
      <c r="C149">
        <v>13907586.66</v>
      </c>
    </row>
    <row r="150" spans="1:3" x14ac:dyDescent="0.3">
      <c r="A150" s="2" t="s">
        <v>22</v>
      </c>
      <c r="B150" s="2" t="s">
        <v>34</v>
      </c>
      <c r="C150" s="2">
        <v>12510925.130000001</v>
      </c>
    </row>
    <row r="151" spans="1:3" x14ac:dyDescent="0.3">
      <c r="A151" t="s">
        <v>22</v>
      </c>
      <c r="B151" t="s">
        <v>35</v>
      </c>
      <c r="C151">
        <v>6115252.2000000002</v>
      </c>
    </row>
    <row r="152" spans="1:3" x14ac:dyDescent="0.3">
      <c r="A152" s="2" t="s">
        <v>22</v>
      </c>
      <c r="B152" s="2" t="s">
        <v>36</v>
      </c>
      <c r="C152" s="2">
        <v>13622567.380000001</v>
      </c>
    </row>
    <row r="153" spans="1:3" x14ac:dyDescent="0.3">
      <c r="A153" t="s">
        <v>22</v>
      </c>
      <c r="B153" t="s">
        <v>37</v>
      </c>
      <c r="C153">
        <v>10533403.41</v>
      </c>
    </row>
    <row r="154" spans="1:3" x14ac:dyDescent="0.3">
      <c r="A154" s="2" t="s">
        <v>22</v>
      </c>
      <c r="B154" s="2" t="s">
        <v>38</v>
      </c>
      <c r="C154" s="2">
        <v>14434371.300000001</v>
      </c>
    </row>
    <row r="155" spans="1:3" x14ac:dyDescent="0.3">
      <c r="A155" t="s">
        <v>22</v>
      </c>
      <c r="B155" t="s">
        <v>39</v>
      </c>
      <c r="C155">
        <v>12451910.189999999</v>
      </c>
    </row>
    <row r="156" spans="1:3" x14ac:dyDescent="0.3">
      <c r="A156" s="2" t="s">
        <v>22</v>
      </c>
      <c r="B156" s="2" t="s">
        <v>40</v>
      </c>
      <c r="C156" s="2">
        <v>18607193.329999998</v>
      </c>
    </row>
    <row r="157" spans="1:3" x14ac:dyDescent="0.3">
      <c r="A157" t="s">
        <v>22</v>
      </c>
      <c r="B157" t="s">
        <v>41</v>
      </c>
      <c r="C157">
        <v>10685696.68</v>
      </c>
    </row>
    <row r="158" spans="1:3" x14ac:dyDescent="0.3">
      <c r="A158" s="2" t="s">
        <v>22</v>
      </c>
      <c r="B158" s="2" t="s">
        <v>42</v>
      </c>
      <c r="C158" s="2">
        <v>12336344.33</v>
      </c>
    </row>
    <row r="159" spans="1:3" x14ac:dyDescent="0.3">
      <c r="A159" t="s">
        <v>10</v>
      </c>
      <c r="B159" t="s">
        <v>31</v>
      </c>
      <c r="C159">
        <v>6464817.0899999999</v>
      </c>
    </row>
    <row r="160" spans="1:3" x14ac:dyDescent="0.3">
      <c r="A160" s="2" t="s">
        <v>10</v>
      </c>
      <c r="B160" s="2" t="s">
        <v>32</v>
      </c>
      <c r="C160" s="2">
        <v>15798854.59</v>
      </c>
    </row>
    <row r="161" spans="1:3" x14ac:dyDescent="0.3">
      <c r="A161" t="s">
        <v>10</v>
      </c>
      <c r="B161" t="s">
        <v>33</v>
      </c>
      <c r="C161">
        <v>15156753.9</v>
      </c>
    </row>
    <row r="162" spans="1:3" x14ac:dyDescent="0.3">
      <c r="A162" s="2" t="s">
        <v>10</v>
      </c>
      <c r="B162" s="2" t="s">
        <v>34</v>
      </c>
      <c r="C162" s="2">
        <v>5506631.4800000004</v>
      </c>
    </row>
    <row r="163" spans="1:3" x14ac:dyDescent="0.3">
      <c r="A163" t="s">
        <v>10</v>
      </c>
      <c r="B163" t="s">
        <v>35</v>
      </c>
      <c r="C163">
        <v>17450880.829999998</v>
      </c>
    </row>
    <row r="164" spans="1:3" x14ac:dyDescent="0.3">
      <c r="A164" s="2" t="s">
        <v>10</v>
      </c>
      <c r="B164" s="2" t="s">
        <v>36</v>
      </c>
      <c r="C164" s="2">
        <v>10207442.699999999</v>
      </c>
    </row>
    <row r="165" spans="1:3" x14ac:dyDescent="0.3">
      <c r="A165" t="s">
        <v>10</v>
      </c>
      <c r="B165" t="s">
        <v>37</v>
      </c>
      <c r="C165">
        <v>15595147.25</v>
      </c>
    </row>
    <row r="166" spans="1:3" x14ac:dyDescent="0.3">
      <c r="A166" s="2" t="s">
        <v>10</v>
      </c>
      <c r="B166" s="2" t="s">
        <v>38</v>
      </c>
      <c r="C166" s="2">
        <v>16032000.630000001</v>
      </c>
    </row>
    <row r="167" spans="1:3" x14ac:dyDescent="0.3">
      <c r="A167" t="s">
        <v>10</v>
      </c>
      <c r="B167" t="s">
        <v>39</v>
      </c>
      <c r="C167">
        <v>4075307.13</v>
      </c>
    </row>
    <row r="168" spans="1:3" x14ac:dyDescent="0.3">
      <c r="A168" s="2" t="s">
        <v>10</v>
      </c>
      <c r="B168" s="2" t="s">
        <v>40</v>
      </c>
      <c r="C168" s="2">
        <v>15590927.609999999</v>
      </c>
    </row>
    <row r="169" spans="1:3" x14ac:dyDescent="0.3">
      <c r="A169" t="s">
        <v>10</v>
      </c>
      <c r="B169" t="s">
        <v>41</v>
      </c>
      <c r="C169">
        <v>23012541.52</v>
      </c>
    </row>
    <row r="170" spans="1:3" x14ac:dyDescent="0.3">
      <c r="A170" s="2" t="s">
        <v>10</v>
      </c>
      <c r="B170" s="2" t="s">
        <v>42</v>
      </c>
      <c r="C170" s="2">
        <v>7796723.8399999999</v>
      </c>
    </row>
    <row r="171" spans="1:3" x14ac:dyDescent="0.3">
      <c r="A171" t="s">
        <v>18</v>
      </c>
      <c r="B171" t="s">
        <v>31</v>
      </c>
      <c r="C171">
        <v>8075767.6299999999</v>
      </c>
    </row>
    <row r="172" spans="1:3" x14ac:dyDescent="0.3">
      <c r="A172" s="2" t="s">
        <v>18</v>
      </c>
      <c r="B172" s="2" t="s">
        <v>32</v>
      </c>
      <c r="C172" s="2">
        <v>19343966.079999998</v>
      </c>
    </row>
    <row r="173" spans="1:3" x14ac:dyDescent="0.3">
      <c r="A173" t="s">
        <v>18</v>
      </c>
      <c r="B173" t="s">
        <v>33</v>
      </c>
      <c r="C173">
        <v>11085796.9</v>
      </c>
    </row>
    <row r="174" spans="1:3" x14ac:dyDescent="0.3">
      <c r="A174" s="2" t="s">
        <v>18</v>
      </c>
      <c r="B174" s="2" t="s">
        <v>34</v>
      </c>
      <c r="C174" s="2">
        <v>10088233.619999999</v>
      </c>
    </row>
    <row r="175" spans="1:3" x14ac:dyDescent="0.3">
      <c r="A175" t="s">
        <v>18</v>
      </c>
      <c r="B175" t="s">
        <v>35</v>
      </c>
      <c r="C175">
        <v>23457888.34</v>
      </c>
    </row>
    <row r="176" spans="1:3" x14ac:dyDescent="0.3">
      <c r="A176" s="2" t="s">
        <v>18</v>
      </c>
      <c r="B176" s="2" t="s">
        <v>36</v>
      </c>
      <c r="C176" s="2">
        <v>17564032.23</v>
      </c>
    </row>
    <row r="177" spans="1:3" x14ac:dyDescent="0.3">
      <c r="A177" t="s">
        <v>18</v>
      </c>
      <c r="B177" t="s">
        <v>37</v>
      </c>
      <c r="C177">
        <v>14654348.42</v>
      </c>
    </row>
    <row r="178" spans="1:3" x14ac:dyDescent="0.3">
      <c r="A178" s="2" t="s">
        <v>18</v>
      </c>
      <c r="B178" s="2" t="s">
        <v>38</v>
      </c>
      <c r="C178" s="2">
        <v>16176176.93</v>
      </c>
    </row>
    <row r="179" spans="1:3" x14ac:dyDescent="0.3">
      <c r="A179" t="s">
        <v>18</v>
      </c>
      <c r="B179" t="s">
        <v>39</v>
      </c>
      <c r="C179">
        <v>10381401.25</v>
      </c>
    </row>
    <row r="180" spans="1:3" x14ac:dyDescent="0.3">
      <c r="A180" s="2" t="s">
        <v>18</v>
      </c>
      <c r="B180" s="2" t="s">
        <v>40</v>
      </c>
      <c r="C180" s="2">
        <v>12784270.130000001</v>
      </c>
    </row>
    <row r="181" spans="1:3" x14ac:dyDescent="0.3">
      <c r="A181" t="s">
        <v>18</v>
      </c>
      <c r="B181" t="s">
        <v>41</v>
      </c>
      <c r="C181">
        <v>13957514.73</v>
      </c>
    </row>
    <row r="182" spans="1:3" x14ac:dyDescent="0.3">
      <c r="A182" s="2" t="s">
        <v>18</v>
      </c>
      <c r="B182" s="2" t="s">
        <v>42</v>
      </c>
      <c r="C182" s="2">
        <v>12862488.539999999</v>
      </c>
    </row>
    <row r="183" spans="1:3" x14ac:dyDescent="0.3">
      <c r="A183" t="s">
        <v>5</v>
      </c>
      <c r="B183" t="s">
        <v>31</v>
      </c>
      <c r="C183">
        <v>2003347.37</v>
      </c>
    </row>
    <row r="184" spans="1:3" x14ac:dyDescent="0.3">
      <c r="A184" s="2" t="s">
        <v>5</v>
      </c>
      <c r="B184" s="2" t="s">
        <v>32</v>
      </c>
      <c r="C184" s="2">
        <v>1565340.02</v>
      </c>
    </row>
    <row r="185" spans="1:3" x14ac:dyDescent="0.3">
      <c r="A185" t="s">
        <v>5</v>
      </c>
      <c r="B185" t="s">
        <v>33</v>
      </c>
      <c r="C185">
        <v>1642730.9</v>
      </c>
    </row>
    <row r="186" spans="1:3" x14ac:dyDescent="0.3">
      <c r="A186" s="2" t="s">
        <v>5</v>
      </c>
      <c r="B186" s="2" t="s">
        <v>34</v>
      </c>
      <c r="C186" s="2">
        <v>1970484.12</v>
      </c>
    </row>
    <row r="187" spans="1:3" x14ac:dyDescent="0.3">
      <c r="A187" t="s">
        <v>5</v>
      </c>
      <c r="B187" t="s">
        <v>35</v>
      </c>
      <c r="C187">
        <v>2615575.4500000002</v>
      </c>
    </row>
    <row r="188" spans="1:3" x14ac:dyDescent="0.3">
      <c r="A188" s="2" t="s">
        <v>5</v>
      </c>
      <c r="B188" s="2" t="s">
        <v>36</v>
      </c>
      <c r="C188" s="2">
        <v>1429113.17</v>
      </c>
    </row>
    <row r="189" spans="1:3" x14ac:dyDescent="0.3">
      <c r="A189" t="s">
        <v>5</v>
      </c>
      <c r="B189" t="s">
        <v>37</v>
      </c>
      <c r="C189">
        <v>1544345.14</v>
      </c>
    </row>
    <row r="190" spans="1:3" x14ac:dyDescent="0.3">
      <c r="A190" s="2" t="s">
        <v>5</v>
      </c>
      <c r="B190" s="2" t="s">
        <v>38</v>
      </c>
      <c r="C190" s="2">
        <v>1820961.1</v>
      </c>
    </row>
    <row r="191" spans="1:3" x14ac:dyDescent="0.3">
      <c r="A191" t="s">
        <v>5</v>
      </c>
      <c r="B191" t="s">
        <v>39</v>
      </c>
      <c r="C191">
        <v>1938750.83</v>
      </c>
    </row>
    <row r="192" spans="1:3" x14ac:dyDescent="0.3">
      <c r="A192" s="2" t="s">
        <v>5</v>
      </c>
      <c r="B192" s="2" t="s">
        <v>40</v>
      </c>
      <c r="C192" s="2">
        <v>1496533.18</v>
      </c>
    </row>
    <row r="193" spans="1:3" x14ac:dyDescent="0.3">
      <c r="A193" t="s">
        <v>5</v>
      </c>
      <c r="B193" t="s">
        <v>41</v>
      </c>
      <c r="C193">
        <v>723188.94</v>
      </c>
    </row>
    <row r="194" spans="1:3" x14ac:dyDescent="0.3">
      <c r="A194" s="2" t="s">
        <v>5</v>
      </c>
      <c r="B194" s="2" t="s">
        <v>42</v>
      </c>
      <c r="C194" s="2">
        <v>3001844.58</v>
      </c>
    </row>
    <row r="195" spans="1:3" x14ac:dyDescent="0.3">
      <c r="A195" t="s">
        <v>25</v>
      </c>
      <c r="B195" t="s">
        <v>31</v>
      </c>
      <c r="C195">
        <v>913207.02</v>
      </c>
    </row>
    <row r="196" spans="1:3" x14ac:dyDescent="0.3">
      <c r="A196" s="2" t="s">
        <v>25</v>
      </c>
      <c r="B196" s="2" t="s">
        <v>32</v>
      </c>
      <c r="C196" s="2">
        <v>1899869.01</v>
      </c>
    </row>
    <row r="197" spans="1:3" x14ac:dyDescent="0.3">
      <c r="A197" t="s">
        <v>25</v>
      </c>
      <c r="B197" t="s">
        <v>33</v>
      </c>
      <c r="C197">
        <v>1081827.6299999999</v>
      </c>
    </row>
    <row r="198" spans="1:3" x14ac:dyDescent="0.3">
      <c r="A198" s="2" t="s">
        <v>25</v>
      </c>
      <c r="B198" s="2" t="s">
        <v>34</v>
      </c>
      <c r="C198" s="2">
        <v>1113642.92</v>
      </c>
    </row>
    <row r="199" spans="1:3" x14ac:dyDescent="0.3">
      <c r="A199" t="s">
        <v>25</v>
      </c>
      <c r="B199" t="s">
        <v>35</v>
      </c>
      <c r="C199">
        <v>1620524.38</v>
      </c>
    </row>
    <row r="200" spans="1:3" x14ac:dyDescent="0.3">
      <c r="A200" s="2" t="s">
        <v>25</v>
      </c>
      <c r="B200" s="2" t="s">
        <v>36</v>
      </c>
      <c r="C200" s="2">
        <v>895958.38</v>
      </c>
    </row>
    <row r="201" spans="1:3" x14ac:dyDescent="0.3">
      <c r="A201" t="s">
        <v>25</v>
      </c>
      <c r="B201" t="s">
        <v>37</v>
      </c>
      <c r="C201">
        <v>1360859.38</v>
      </c>
    </row>
    <row r="202" spans="1:3" x14ac:dyDescent="0.3">
      <c r="A202" s="2" t="s">
        <v>25</v>
      </c>
      <c r="B202" s="2" t="s">
        <v>38</v>
      </c>
      <c r="C202" s="2">
        <v>598799.18999999994</v>
      </c>
    </row>
    <row r="203" spans="1:3" x14ac:dyDescent="0.3">
      <c r="A203" t="s">
        <v>25</v>
      </c>
      <c r="B203" t="s">
        <v>39</v>
      </c>
      <c r="C203">
        <v>2012685.34</v>
      </c>
    </row>
    <row r="204" spans="1:3" x14ac:dyDescent="0.3">
      <c r="A204" s="2" t="s">
        <v>25</v>
      </c>
      <c r="B204" s="2" t="s">
        <v>40</v>
      </c>
      <c r="C204" s="2">
        <v>1760867.8</v>
      </c>
    </row>
    <row r="205" spans="1:3" x14ac:dyDescent="0.3">
      <c r="A205" t="s">
        <v>25</v>
      </c>
      <c r="B205" t="s">
        <v>41</v>
      </c>
      <c r="C205">
        <v>1318453.75</v>
      </c>
    </row>
    <row r="206" spans="1:3" x14ac:dyDescent="0.3">
      <c r="A206" s="2" t="s">
        <v>25</v>
      </c>
      <c r="B206" s="2" t="s">
        <v>42</v>
      </c>
      <c r="C206" s="2">
        <v>1728335.43</v>
      </c>
    </row>
    <row r="207" spans="1:3" x14ac:dyDescent="0.3">
      <c r="A207" t="s">
        <v>6</v>
      </c>
      <c r="B207" t="s">
        <v>31</v>
      </c>
      <c r="C207">
        <v>16811639.43</v>
      </c>
    </row>
    <row r="208" spans="1:3" x14ac:dyDescent="0.3">
      <c r="A208" s="2" t="s">
        <v>6</v>
      </c>
      <c r="B208" s="2" t="s">
        <v>32</v>
      </c>
      <c r="C208" s="2">
        <v>7985756.3700000001</v>
      </c>
    </row>
    <row r="209" spans="1:3" x14ac:dyDescent="0.3">
      <c r="A209" t="s">
        <v>6</v>
      </c>
      <c r="B209" t="s">
        <v>33</v>
      </c>
      <c r="C209">
        <v>9868977.7400000002</v>
      </c>
    </row>
    <row r="210" spans="1:3" x14ac:dyDescent="0.3">
      <c r="A210" s="2" t="s">
        <v>6</v>
      </c>
      <c r="B210" s="2" t="s">
        <v>34</v>
      </c>
      <c r="C210" s="2">
        <v>8465345.5399999991</v>
      </c>
    </row>
    <row r="211" spans="1:3" x14ac:dyDescent="0.3">
      <c r="A211" t="s">
        <v>6</v>
      </c>
      <c r="B211" t="s">
        <v>35</v>
      </c>
      <c r="C211">
        <v>18321368.350000001</v>
      </c>
    </row>
    <row r="212" spans="1:3" x14ac:dyDescent="0.3">
      <c r="A212" s="2" t="s">
        <v>6</v>
      </c>
      <c r="B212" s="2" t="s">
        <v>36</v>
      </c>
      <c r="C212" s="2">
        <v>10916681.77</v>
      </c>
    </row>
    <row r="213" spans="1:3" x14ac:dyDescent="0.3">
      <c r="A213" t="s">
        <v>6</v>
      </c>
      <c r="B213" t="s">
        <v>37</v>
      </c>
      <c r="C213">
        <v>18234705.859999999</v>
      </c>
    </row>
    <row r="214" spans="1:3" x14ac:dyDescent="0.3">
      <c r="A214" s="2" t="s">
        <v>6</v>
      </c>
      <c r="B214" s="2" t="s">
        <v>38</v>
      </c>
      <c r="C214" s="2">
        <v>15117783.18</v>
      </c>
    </row>
    <row r="215" spans="1:3" x14ac:dyDescent="0.3">
      <c r="A215" t="s">
        <v>6</v>
      </c>
      <c r="B215" t="s">
        <v>39</v>
      </c>
      <c r="C215">
        <v>12288995.560000001</v>
      </c>
    </row>
    <row r="216" spans="1:3" x14ac:dyDescent="0.3">
      <c r="A216" s="2" t="s">
        <v>6</v>
      </c>
      <c r="B216" s="2" t="s">
        <v>40</v>
      </c>
      <c r="C216" s="2">
        <v>13707481.890000001</v>
      </c>
    </row>
    <row r="217" spans="1:3" x14ac:dyDescent="0.3">
      <c r="A217" t="s">
        <v>6</v>
      </c>
      <c r="B217" t="s">
        <v>41</v>
      </c>
      <c r="C217">
        <v>11132178.189999999</v>
      </c>
    </row>
    <row r="218" spans="1:3" x14ac:dyDescent="0.3">
      <c r="A218" s="2" t="s">
        <v>6</v>
      </c>
      <c r="B218" s="2" t="s">
        <v>42</v>
      </c>
      <c r="C218" s="2">
        <v>21567213.93</v>
      </c>
    </row>
    <row r="219" spans="1:3" x14ac:dyDescent="0.3">
      <c r="A219" t="s">
        <v>12</v>
      </c>
      <c r="B219" t="s">
        <v>31</v>
      </c>
      <c r="C219">
        <v>2199523.7599999998</v>
      </c>
    </row>
    <row r="220" spans="1:3" x14ac:dyDescent="0.3">
      <c r="A220" s="2" t="s">
        <v>12</v>
      </c>
      <c r="B220" s="2" t="s">
        <v>32</v>
      </c>
      <c r="C220" s="2">
        <v>2689691.32</v>
      </c>
    </row>
    <row r="221" spans="1:3" x14ac:dyDescent="0.3">
      <c r="A221" t="s">
        <v>12</v>
      </c>
      <c r="B221" t="s">
        <v>33</v>
      </c>
      <c r="C221">
        <v>2474229.7799999998</v>
      </c>
    </row>
    <row r="222" spans="1:3" x14ac:dyDescent="0.3">
      <c r="A222" s="2" t="s">
        <v>12</v>
      </c>
      <c r="B222" s="2" t="s">
        <v>34</v>
      </c>
      <c r="C222" s="2">
        <v>737161.92</v>
      </c>
    </row>
    <row r="223" spans="1:3" x14ac:dyDescent="0.3">
      <c r="A223" t="s">
        <v>12</v>
      </c>
      <c r="B223" t="s">
        <v>35</v>
      </c>
      <c r="C223">
        <v>2050879.33</v>
      </c>
    </row>
    <row r="224" spans="1:3" x14ac:dyDescent="0.3">
      <c r="A224" s="2" t="s">
        <v>12</v>
      </c>
      <c r="B224" s="2" t="s">
        <v>36</v>
      </c>
      <c r="C224" s="2">
        <v>1883536.62</v>
      </c>
    </row>
    <row r="225" spans="1:3" x14ac:dyDescent="0.3">
      <c r="A225" t="s">
        <v>12</v>
      </c>
      <c r="B225" t="s">
        <v>37</v>
      </c>
      <c r="C225">
        <v>1898714.9</v>
      </c>
    </row>
    <row r="226" spans="1:3" x14ac:dyDescent="0.3">
      <c r="A226" s="2" t="s">
        <v>12</v>
      </c>
      <c r="B226" s="2" t="s">
        <v>38</v>
      </c>
      <c r="C226" s="2">
        <v>875266.46</v>
      </c>
    </row>
    <row r="227" spans="1:3" x14ac:dyDescent="0.3">
      <c r="A227" t="s">
        <v>12</v>
      </c>
      <c r="B227" t="s">
        <v>39</v>
      </c>
      <c r="C227">
        <v>2065427.08</v>
      </c>
    </row>
    <row r="228" spans="1:3" x14ac:dyDescent="0.3">
      <c r="A228" s="2" t="s">
        <v>12</v>
      </c>
      <c r="B228" s="2" t="s">
        <v>40</v>
      </c>
      <c r="C228" s="2">
        <v>1047840.16</v>
      </c>
    </row>
    <row r="229" spans="1:3" x14ac:dyDescent="0.3">
      <c r="A229" t="s">
        <v>12</v>
      </c>
      <c r="B229" t="s">
        <v>41</v>
      </c>
      <c r="C229">
        <v>1793001.98</v>
      </c>
    </row>
    <row r="230" spans="1:3" x14ac:dyDescent="0.3">
      <c r="A230" s="2" t="s">
        <v>12</v>
      </c>
      <c r="B230" s="2" t="s">
        <v>42</v>
      </c>
      <c r="C230" s="2">
        <v>1283694.77</v>
      </c>
    </row>
    <row r="231" spans="1:3" x14ac:dyDescent="0.3">
      <c r="A231" t="s">
        <v>9</v>
      </c>
      <c r="B231" t="s">
        <v>31</v>
      </c>
      <c r="C231">
        <v>15865584.83</v>
      </c>
    </row>
    <row r="232" spans="1:3" x14ac:dyDescent="0.3">
      <c r="A232" s="2" t="s">
        <v>9</v>
      </c>
      <c r="B232" s="2" t="s">
        <v>32</v>
      </c>
      <c r="C232" s="2">
        <v>3140920.76</v>
      </c>
    </row>
    <row r="233" spans="1:3" x14ac:dyDescent="0.3">
      <c r="A233" t="s">
        <v>9</v>
      </c>
      <c r="B233" t="s">
        <v>33</v>
      </c>
      <c r="C233">
        <v>19406814.809999999</v>
      </c>
    </row>
    <row r="234" spans="1:3" x14ac:dyDescent="0.3">
      <c r="A234" s="2" t="s">
        <v>9</v>
      </c>
      <c r="B234" s="2" t="s">
        <v>34</v>
      </c>
      <c r="C234" s="2">
        <v>11523122.98</v>
      </c>
    </row>
    <row r="235" spans="1:3" x14ac:dyDescent="0.3">
      <c r="A235" t="s">
        <v>9</v>
      </c>
      <c r="B235" t="s">
        <v>35</v>
      </c>
      <c r="C235">
        <v>14380656.949999999</v>
      </c>
    </row>
    <row r="236" spans="1:3" x14ac:dyDescent="0.3">
      <c r="A236" s="2" t="s">
        <v>9</v>
      </c>
      <c r="B236" s="2" t="s">
        <v>36</v>
      </c>
      <c r="C236" s="2">
        <v>12958926.34</v>
      </c>
    </row>
    <row r="237" spans="1:3" x14ac:dyDescent="0.3">
      <c r="A237" t="s">
        <v>9</v>
      </c>
      <c r="B237" t="s">
        <v>37</v>
      </c>
      <c r="C237">
        <v>9847473.3499999996</v>
      </c>
    </row>
    <row r="238" spans="1:3" x14ac:dyDescent="0.3">
      <c r="A238" s="2" t="s">
        <v>9</v>
      </c>
      <c r="B238" s="2" t="s">
        <v>38</v>
      </c>
      <c r="C238" s="2">
        <v>8849717.3000000007</v>
      </c>
    </row>
    <row r="239" spans="1:3" x14ac:dyDescent="0.3">
      <c r="A239" t="s">
        <v>9</v>
      </c>
      <c r="B239" t="s">
        <v>39</v>
      </c>
      <c r="C239">
        <v>17933371.829999998</v>
      </c>
    </row>
    <row r="240" spans="1:3" x14ac:dyDescent="0.3">
      <c r="A240" s="2" t="s">
        <v>9</v>
      </c>
      <c r="B240" s="2" t="s">
        <v>40</v>
      </c>
      <c r="C240" s="2">
        <v>7590421.1900000004</v>
      </c>
    </row>
    <row r="241" spans="1:3" x14ac:dyDescent="0.3">
      <c r="A241" t="s">
        <v>9</v>
      </c>
      <c r="B241" t="s">
        <v>41</v>
      </c>
      <c r="C241">
        <v>11795396.66</v>
      </c>
    </row>
    <row r="242" spans="1:3" x14ac:dyDescent="0.3">
      <c r="A242" s="2" t="s">
        <v>9</v>
      </c>
      <c r="B242" s="2" t="s">
        <v>42</v>
      </c>
      <c r="C242" s="2">
        <v>12763894.640000001</v>
      </c>
    </row>
  </sheetData>
  <sheetProtection algorithmName="SHA-512" hashValue="1NNehH7t15sCcpawLCvhRzDoMoZ704h5VSGjKQx0voUMOoearv6nc1qoyU1/u8Ri321cpZDQbE2x31merSgX2A==" saltValue="Du8zzObDt0blwcf0QaKiSg==" spinCount="100000" sheet="1" objects="1" scenarios="1" selectLockedCells="1" selectUnlockedCells="1"/>
  <mergeCells count="1">
    <mergeCell ref="A1:F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selection sqref="A1:F1"/>
    </sheetView>
  </sheetViews>
  <sheetFormatPr defaultRowHeight="14.4" x14ac:dyDescent="0.3"/>
  <cols>
    <col min="1" max="1" width="30" customWidth="1"/>
    <col min="2" max="2" width="16" customWidth="1"/>
    <col min="3" max="3" width="14" customWidth="1"/>
    <col min="4" max="5" width="13" customWidth="1"/>
    <col min="6" max="6" width="17" customWidth="1"/>
  </cols>
  <sheetData>
    <row r="1" spans="1:6" ht="17.399999999999999" x14ac:dyDescent="0.35">
      <c r="A1" s="5" t="s">
        <v>43</v>
      </c>
      <c r="B1" s="5"/>
      <c r="C1" s="5"/>
      <c r="D1" s="5"/>
      <c r="E1" s="5"/>
      <c r="F1" s="5"/>
    </row>
    <row r="2" spans="1:6" x14ac:dyDescent="0.3">
      <c r="A2" s="1" t="s">
        <v>44</v>
      </c>
      <c r="B2" s="1" t="s">
        <v>3</v>
      </c>
      <c r="C2" s="1" t="s">
        <v>15</v>
      </c>
      <c r="D2" s="1" t="s">
        <v>16</v>
      </c>
      <c r="E2" s="1" t="s">
        <v>17</v>
      </c>
      <c r="F2" s="1" t="s">
        <v>45</v>
      </c>
    </row>
    <row r="3" spans="1:6" x14ac:dyDescent="0.3">
      <c r="A3" t="s">
        <v>46</v>
      </c>
      <c r="B3">
        <v>2516</v>
      </c>
      <c r="C3">
        <v>497305.32</v>
      </c>
      <c r="D3">
        <v>424316.79</v>
      </c>
      <c r="E3">
        <v>72988.53</v>
      </c>
      <c r="F3">
        <v>183639143.28</v>
      </c>
    </row>
    <row r="4" spans="1:6" x14ac:dyDescent="0.3">
      <c r="A4" s="2" t="s">
        <v>47</v>
      </c>
      <c r="B4" s="2">
        <v>2484</v>
      </c>
      <c r="C4" s="2">
        <v>4192028.42</v>
      </c>
      <c r="D4" s="2">
        <v>3566175.6</v>
      </c>
      <c r="E4" s="2">
        <v>625852.81999999995</v>
      </c>
      <c r="F4" s="2">
        <v>1554618408.6700001</v>
      </c>
    </row>
  </sheetData>
  <sheetProtection algorithmName="SHA-512" hashValue="LcO9ASrdDbV5Fwsy7sdC1U01j2VVb7MJvY9bt5PFIggUjGEiiiW6icykxyvFbz6OBeLIvX6N7oxSryLNfYE3TA==" saltValue="ASsJtrY6jqCogW6xJwx+3Q==" spinCount="100000" sheet="1" objects="1" scenarios="1" selectLockedCells="1" selectUnlockedCells="1"/>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2"/>
  <sheetViews>
    <sheetView workbookViewId="0">
      <selection activeCell="A3" sqref="A3:B4"/>
    </sheetView>
  </sheetViews>
  <sheetFormatPr defaultRowHeight="14.4" x14ac:dyDescent="0.3"/>
  <cols>
    <col min="1" max="3" width="20" customWidth="1"/>
  </cols>
  <sheetData>
    <row r="1" spans="1:3" ht="17.399999999999999" x14ac:dyDescent="0.35">
      <c r="A1" s="5" t="s">
        <v>48</v>
      </c>
      <c r="B1" s="6"/>
      <c r="C1" s="6"/>
    </row>
    <row r="2" spans="1:3" x14ac:dyDescent="0.3">
      <c r="A2" s="1" t="s">
        <v>2</v>
      </c>
      <c r="B2" s="1" t="s">
        <v>15</v>
      </c>
      <c r="C2" s="1" t="s">
        <v>16</v>
      </c>
    </row>
    <row r="3" spans="1:3" x14ac:dyDescent="0.3">
      <c r="A3" t="s">
        <v>7</v>
      </c>
      <c r="B3">
        <v>4465610.46</v>
      </c>
      <c r="C3">
        <v>3787004.07</v>
      </c>
    </row>
    <row r="4" spans="1:3" x14ac:dyDescent="0.3">
      <c r="A4" s="2" t="s">
        <v>21</v>
      </c>
      <c r="B4" s="2">
        <v>4360612.1500000004</v>
      </c>
      <c r="C4" s="2">
        <v>3744327.29</v>
      </c>
    </row>
    <row r="5" spans="1:3" x14ac:dyDescent="0.3">
      <c r="A5" t="s">
        <v>22</v>
      </c>
      <c r="B5">
        <v>4319132.7300000004</v>
      </c>
      <c r="C5">
        <v>3717541.49</v>
      </c>
    </row>
    <row r="6" spans="1:3" x14ac:dyDescent="0.3">
      <c r="A6" s="2" t="s">
        <v>6</v>
      </c>
      <c r="B6" s="2">
        <v>4245042.5</v>
      </c>
      <c r="C6" s="2">
        <v>3638333.54</v>
      </c>
    </row>
    <row r="7" spans="1:3" x14ac:dyDescent="0.3">
      <c r="A7" t="s">
        <v>13</v>
      </c>
      <c r="B7">
        <v>4205482.3499999996</v>
      </c>
      <c r="C7">
        <v>3569569.71</v>
      </c>
    </row>
    <row r="8" spans="1:3" x14ac:dyDescent="0.3">
      <c r="A8" s="2" t="s">
        <v>19</v>
      </c>
      <c r="B8" s="2">
        <v>4157483.78</v>
      </c>
      <c r="C8" s="2">
        <v>3476697.61</v>
      </c>
    </row>
    <row r="9" spans="1:3" x14ac:dyDescent="0.3">
      <c r="A9" t="s">
        <v>10</v>
      </c>
      <c r="B9">
        <v>4119533.32</v>
      </c>
      <c r="C9">
        <v>3538970.48</v>
      </c>
    </row>
    <row r="10" spans="1:3" x14ac:dyDescent="0.3">
      <c r="A10" s="2" t="s">
        <v>9</v>
      </c>
      <c r="B10" s="2">
        <v>4060554.67</v>
      </c>
      <c r="C10" s="2">
        <v>3507311.1</v>
      </c>
    </row>
    <row r="11" spans="1:3" x14ac:dyDescent="0.3">
      <c r="A11" t="s">
        <v>18</v>
      </c>
      <c r="B11">
        <v>4046901.62</v>
      </c>
      <c r="C11">
        <v>3356893.99</v>
      </c>
    </row>
    <row r="12" spans="1:3" x14ac:dyDescent="0.3">
      <c r="A12" s="2" t="s">
        <v>20</v>
      </c>
      <c r="B12" s="2">
        <v>3940826.26</v>
      </c>
      <c r="C12" s="2">
        <v>3324077.55</v>
      </c>
    </row>
    <row r="13" spans="1:3" x14ac:dyDescent="0.3">
      <c r="A13" t="s">
        <v>11</v>
      </c>
      <c r="B13">
        <v>516471.27</v>
      </c>
      <c r="C13">
        <v>441686.26</v>
      </c>
    </row>
    <row r="14" spans="1:3" x14ac:dyDescent="0.3">
      <c r="A14" s="2" t="s">
        <v>12</v>
      </c>
      <c r="B14" s="2">
        <v>514015.35</v>
      </c>
      <c r="C14" s="2">
        <v>431015.47</v>
      </c>
    </row>
    <row r="15" spans="1:3" x14ac:dyDescent="0.3">
      <c r="A15" t="s">
        <v>5</v>
      </c>
      <c r="B15">
        <v>506825.82</v>
      </c>
      <c r="C15">
        <v>429139.34</v>
      </c>
    </row>
    <row r="16" spans="1:3" x14ac:dyDescent="0.3">
      <c r="A16" s="2" t="s">
        <v>4</v>
      </c>
      <c r="B16" s="2">
        <v>505053.4</v>
      </c>
      <c r="C16" s="2">
        <v>427055.37</v>
      </c>
    </row>
    <row r="17" spans="1:3" x14ac:dyDescent="0.3">
      <c r="A17" t="s">
        <v>24</v>
      </c>
      <c r="B17">
        <v>491397.68</v>
      </c>
      <c r="C17">
        <v>420900.46</v>
      </c>
    </row>
    <row r="18" spans="1:3" x14ac:dyDescent="0.3">
      <c r="A18" s="2" t="s">
        <v>25</v>
      </c>
      <c r="B18" s="2">
        <v>491163.28</v>
      </c>
      <c r="C18" s="2">
        <v>421483.66</v>
      </c>
    </row>
    <row r="19" spans="1:3" x14ac:dyDescent="0.3">
      <c r="A19" t="s">
        <v>27</v>
      </c>
      <c r="B19">
        <v>487320.26</v>
      </c>
      <c r="C19">
        <v>423044.29</v>
      </c>
    </row>
    <row r="20" spans="1:3" x14ac:dyDescent="0.3">
      <c r="A20" s="2" t="s">
        <v>23</v>
      </c>
      <c r="B20" s="2">
        <v>486684.12</v>
      </c>
      <c r="C20" s="2">
        <v>406057.05</v>
      </c>
    </row>
    <row r="21" spans="1:3" x14ac:dyDescent="0.3">
      <c r="A21" t="s">
        <v>8</v>
      </c>
      <c r="B21">
        <v>485687.57</v>
      </c>
      <c r="C21">
        <v>419812.87</v>
      </c>
    </row>
    <row r="22" spans="1:3" x14ac:dyDescent="0.3">
      <c r="A22" s="2" t="s">
        <v>26</v>
      </c>
      <c r="B22" s="2">
        <v>483415.51</v>
      </c>
      <c r="C22" s="2">
        <v>419055.04</v>
      </c>
    </row>
  </sheetData>
  <sheetProtection algorithmName="SHA-512" hashValue="6gE2/shedv6orzgNgbF07puVpccE5CG4C5RFDfyDu9jQiQ2OpKg1RqAyECB3o5BlMUOAbSkOx7tX8bLj+OKhvA==" saltValue="6MUCmZhKG5KHrbPArLCFaw==" spinCount="100000" sheet="1" objects="1" scenarios="1" selectLockedCells="1" selectUnlockedCells="1"/>
  <mergeCells count="1">
    <mergeCell ref="A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
  <sheetViews>
    <sheetView workbookViewId="0">
      <selection activeCell="I13" sqref="I13"/>
    </sheetView>
  </sheetViews>
  <sheetFormatPr defaultRowHeight="14.4" x14ac:dyDescent="0.3"/>
  <cols>
    <col min="1" max="1" width="26.21875" bestFit="1" customWidth="1"/>
    <col min="2" max="2" width="10.44140625" customWidth="1"/>
  </cols>
  <sheetData>
    <row r="1" spans="1:2" ht="17.399999999999999" x14ac:dyDescent="0.35">
      <c r="A1" s="5" t="s">
        <v>49</v>
      </c>
      <c r="B1" s="5"/>
    </row>
    <row r="2" spans="1:2" x14ac:dyDescent="0.3">
      <c r="A2" s="3" t="s">
        <v>50</v>
      </c>
      <c r="B2" s="3" t="s">
        <v>51</v>
      </c>
    </row>
    <row r="3" spans="1:2" x14ac:dyDescent="0.3">
      <c r="A3" t="s">
        <v>52</v>
      </c>
      <c r="B3">
        <v>71.209999999999994</v>
      </c>
    </row>
    <row r="4" spans="1:2" x14ac:dyDescent="0.3">
      <c r="A4" s="2" t="s">
        <v>53</v>
      </c>
      <c r="B4" s="2">
        <v>28.79</v>
      </c>
    </row>
  </sheetData>
  <sheetProtection algorithmName="SHA-512" hashValue="MO8yIyLXnYGNpSIUITPxZ/AgtjmKY/gu4+9cmrLhnJ5ciZIwz/zPWBxji/BjGbLzIqX35K0HOnabTGcO5MQPSw==" saltValue="WA2apqDQEYpYFm/7bE4IrA==" spinCount="100000" sheet="1" objects="1" scenarios="1" selectLockedCells="1" selectUnlockedCells="1"/>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2"/>
  <sheetViews>
    <sheetView workbookViewId="0">
      <selection activeCell="G28" sqref="G28"/>
    </sheetView>
  </sheetViews>
  <sheetFormatPr defaultRowHeight="14.4" x14ac:dyDescent="0.3"/>
  <cols>
    <col min="1" max="9" width="16" customWidth="1"/>
  </cols>
  <sheetData>
    <row r="1" spans="1:9" ht="17.399999999999999" x14ac:dyDescent="0.35">
      <c r="A1" s="5" t="s">
        <v>54</v>
      </c>
      <c r="B1" s="5"/>
      <c r="C1" s="5"/>
      <c r="D1" s="5"/>
      <c r="E1" s="5"/>
      <c r="F1" s="5"/>
      <c r="G1" s="5"/>
      <c r="H1" s="5"/>
      <c r="I1" s="5"/>
    </row>
    <row r="2" spans="1:9" x14ac:dyDescent="0.3">
      <c r="A2" s="1" t="s">
        <v>2</v>
      </c>
      <c r="B2" s="1" t="s">
        <v>55</v>
      </c>
      <c r="C2" s="1" t="s">
        <v>56</v>
      </c>
      <c r="D2" s="1" t="s">
        <v>57</v>
      </c>
      <c r="E2" s="1" t="s">
        <v>58</v>
      </c>
      <c r="F2" s="1" t="s">
        <v>59</v>
      </c>
      <c r="G2" s="1" t="s">
        <v>60</v>
      </c>
      <c r="H2" s="1" t="s">
        <v>61</v>
      </c>
      <c r="I2" s="1" t="s">
        <v>62</v>
      </c>
    </row>
    <row r="3" spans="1:9" x14ac:dyDescent="0.3">
      <c r="A3" t="s">
        <v>24</v>
      </c>
      <c r="B3" t="s">
        <v>63</v>
      </c>
      <c r="C3" t="s">
        <v>64</v>
      </c>
      <c r="D3">
        <v>13.198600000000001</v>
      </c>
      <c r="E3">
        <v>77.706599999999995</v>
      </c>
      <c r="F3" t="s">
        <v>65</v>
      </c>
      <c r="G3" t="s">
        <v>66</v>
      </c>
      <c r="H3">
        <v>17.240300000000001</v>
      </c>
      <c r="I3">
        <v>78.429400000000001</v>
      </c>
    </row>
    <row r="4" spans="1:9" x14ac:dyDescent="0.3">
      <c r="A4" s="2" t="s">
        <v>9</v>
      </c>
      <c r="B4" s="2" t="s">
        <v>67</v>
      </c>
      <c r="C4" s="2" t="s">
        <v>68</v>
      </c>
      <c r="D4" s="2">
        <v>12.9941</v>
      </c>
      <c r="E4" s="2">
        <v>80.170900000000003</v>
      </c>
      <c r="F4" s="2" t="s">
        <v>69</v>
      </c>
      <c r="G4" s="2" t="s">
        <v>70</v>
      </c>
      <c r="H4" s="2">
        <v>7.1802000000000001</v>
      </c>
      <c r="I4" s="2">
        <v>79.884100000000004</v>
      </c>
    </row>
    <row r="5" spans="1:9" x14ac:dyDescent="0.3">
      <c r="A5" t="s">
        <v>8</v>
      </c>
      <c r="B5" t="s">
        <v>71</v>
      </c>
      <c r="C5" t="s">
        <v>72</v>
      </c>
      <c r="D5">
        <v>19.089600000000001</v>
      </c>
      <c r="E5">
        <v>72.865600000000001</v>
      </c>
      <c r="F5" t="s">
        <v>73</v>
      </c>
      <c r="G5" t="s">
        <v>74</v>
      </c>
      <c r="H5">
        <v>28.5562</v>
      </c>
      <c r="I5">
        <v>77.099999999999994</v>
      </c>
    </row>
    <row r="6" spans="1:9" x14ac:dyDescent="0.3">
      <c r="A6" s="2" t="s">
        <v>10</v>
      </c>
      <c r="B6" s="2" t="s">
        <v>73</v>
      </c>
      <c r="C6" s="2" t="s">
        <v>74</v>
      </c>
      <c r="D6" s="2">
        <v>28.5562</v>
      </c>
      <c r="E6" s="2">
        <v>77.099999999999994</v>
      </c>
      <c r="F6" s="2" t="s">
        <v>75</v>
      </c>
      <c r="G6" s="2" t="s">
        <v>76</v>
      </c>
      <c r="H6" s="2">
        <v>50.0379</v>
      </c>
      <c r="I6" s="2">
        <v>8.5622000000000007</v>
      </c>
    </row>
    <row r="7" spans="1:9" x14ac:dyDescent="0.3">
      <c r="A7" t="s">
        <v>18</v>
      </c>
      <c r="B7" t="s">
        <v>73</v>
      </c>
      <c r="C7" t="s">
        <v>74</v>
      </c>
      <c r="D7">
        <v>28.5562</v>
      </c>
      <c r="E7">
        <v>77.099999999999994</v>
      </c>
      <c r="F7" t="s">
        <v>77</v>
      </c>
      <c r="G7" t="s">
        <v>78</v>
      </c>
      <c r="H7">
        <v>51.47</v>
      </c>
      <c r="I7">
        <v>-0.45429999999999998</v>
      </c>
    </row>
    <row r="8" spans="1:9" x14ac:dyDescent="0.3">
      <c r="A8" s="2" t="s">
        <v>25</v>
      </c>
      <c r="B8" s="2" t="s">
        <v>65</v>
      </c>
      <c r="C8" s="2" t="s">
        <v>66</v>
      </c>
      <c r="D8" s="2">
        <v>17.240300000000001</v>
      </c>
      <c r="E8" s="2">
        <v>78.429400000000001</v>
      </c>
      <c r="F8" s="2" t="s">
        <v>71</v>
      </c>
      <c r="G8" s="2" t="s">
        <v>72</v>
      </c>
      <c r="H8" s="2">
        <v>19.089600000000001</v>
      </c>
      <c r="I8" s="2">
        <v>72.865600000000001</v>
      </c>
    </row>
    <row r="9" spans="1:9" x14ac:dyDescent="0.3">
      <c r="A9" t="s">
        <v>27</v>
      </c>
      <c r="B9" t="s">
        <v>79</v>
      </c>
      <c r="C9" t="s">
        <v>80</v>
      </c>
      <c r="D9">
        <v>22.652000000000001</v>
      </c>
      <c r="E9">
        <v>88.446299999999994</v>
      </c>
      <c r="F9" t="s">
        <v>73</v>
      </c>
      <c r="G9" t="s">
        <v>74</v>
      </c>
      <c r="H9">
        <v>28.5562</v>
      </c>
      <c r="I9">
        <v>77.099999999999994</v>
      </c>
    </row>
    <row r="10" spans="1:9" x14ac:dyDescent="0.3">
      <c r="A10" s="2" t="s">
        <v>21</v>
      </c>
      <c r="B10" s="2" t="s">
        <v>71</v>
      </c>
      <c r="C10" s="2" t="s">
        <v>72</v>
      </c>
      <c r="D10" s="2">
        <v>19.089600000000001</v>
      </c>
      <c r="E10" s="2">
        <v>72.865600000000001</v>
      </c>
      <c r="F10" s="2" t="s">
        <v>81</v>
      </c>
      <c r="G10" s="2" t="s">
        <v>82</v>
      </c>
      <c r="H10" s="2">
        <v>25.2532</v>
      </c>
      <c r="I10" s="2">
        <v>55.365699999999997</v>
      </c>
    </row>
    <row r="11" spans="1:9" x14ac:dyDescent="0.3">
      <c r="A11" t="s">
        <v>5</v>
      </c>
      <c r="B11" t="s">
        <v>73</v>
      </c>
      <c r="C11" t="s">
        <v>74</v>
      </c>
      <c r="D11">
        <v>28.5562</v>
      </c>
      <c r="E11">
        <v>77.099999999999994</v>
      </c>
      <c r="F11" t="s">
        <v>67</v>
      </c>
      <c r="G11" t="s">
        <v>68</v>
      </c>
      <c r="H11">
        <v>12.9941</v>
      </c>
      <c r="I11">
        <v>80.170900000000003</v>
      </c>
    </row>
    <row r="12" spans="1:9" x14ac:dyDescent="0.3">
      <c r="A12" s="2" t="s">
        <v>19</v>
      </c>
      <c r="B12" s="2" t="s">
        <v>63</v>
      </c>
      <c r="C12" s="2" t="s">
        <v>64</v>
      </c>
      <c r="D12" s="2">
        <v>13.198600000000001</v>
      </c>
      <c r="E12" s="2">
        <v>77.706599999999995</v>
      </c>
      <c r="F12" s="2" t="s">
        <v>83</v>
      </c>
      <c r="G12" s="2" t="s">
        <v>84</v>
      </c>
      <c r="H12" s="2">
        <v>1.3644000000000001</v>
      </c>
      <c r="I12" s="2">
        <v>103.9915</v>
      </c>
    </row>
    <row r="13" spans="1:9" x14ac:dyDescent="0.3">
      <c r="A13" t="s">
        <v>6</v>
      </c>
      <c r="B13" t="s">
        <v>65</v>
      </c>
      <c r="C13" t="s">
        <v>66</v>
      </c>
      <c r="D13">
        <v>17.240300000000001</v>
      </c>
      <c r="E13">
        <v>78.429400000000001</v>
      </c>
      <c r="F13" t="s">
        <v>81</v>
      </c>
      <c r="G13" t="s">
        <v>82</v>
      </c>
      <c r="H13">
        <v>25.2532</v>
      </c>
      <c r="I13">
        <v>55.365699999999997</v>
      </c>
    </row>
    <row r="14" spans="1:9" x14ac:dyDescent="0.3">
      <c r="A14" s="2" t="s">
        <v>12</v>
      </c>
      <c r="B14" s="2" t="s">
        <v>67</v>
      </c>
      <c r="C14" s="2" t="s">
        <v>68</v>
      </c>
      <c r="D14" s="2">
        <v>12.9941</v>
      </c>
      <c r="E14" s="2">
        <v>80.170900000000003</v>
      </c>
      <c r="F14" s="2" t="s">
        <v>63</v>
      </c>
      <c r="G14" s="2" t="s">
        <v>64</v>
      </c>
      <c r="H14" s="2">
        <v>13.198600000000001</v>
      </c>
      <c r="I14" s="2">
        <v>77.706599999999995</v>
      </c>
    </row>
    <row r="15" spans="1:9" x14ac:dyDescent="0.3">
      <c r="A15" t="s">
        <v>11</v>
      </c>
      <c r="B15" t="s">
        <v>73</v>
      </c>
      <c r="C15" t="s">
        <v>74</v>
      </c>
      <c r="D15">
        <v>28.5562</v>
      </c>
      <c r="E15">
        <v>77.099999999999994</v>
      </c>
      <c r="F15" t="s">
        <v>85</v>
      </c>
      <c r="G15" t="s">
        <v>86</v>
      </c>
      <c r="H15">
        <v>23.077100000000002</v>
      </c>
      <c r="I15">
        <v>72.634699999999995</v>
      </c>
    </row>
    <row r="16" spans="1:9" x14ac:dyDescent="0.3">
      <c r="A16" s="2" t="s">
        <v>4</v>
      </c>
      <c r="B16" s="2" t="s">
        <v>71</v>
      </c>
      <c r="C16" s="2" t="s">
        <v>72</v>
      </c>
      <c r="D16" s="2">
        <v>19.089600000000001</v>
      </c>
      <c r="E16" s="2">
        <v>72.865600000000001</v>
      </c>
      <c r="F16" s="2" t="s">
        <v>79</v>
      </c>
      <c r="G16" s="2" t="s">
        <v>80</v>
      </c>
      <c r="H16" s="2">
        <v>22.652000000000001</v>
      </c>
      <c r="I16" s="2">
        <v>88.446299999999994</v>
      </c>
    </row>
    <row r="17" spans="1:9" x14ac:dyDescent="0.3">
      <c r="A17" t="s">
        <v>23</v>
      </c>
      <c r="B17" t="s">
        <v>73</v>
      </c>
      <c r="C17" t="s">
        <v>74</v>
      </c>
      <c r="D17">
        <v>28.5562</v>
      </c>
      <c r="E17">
        <v>77.099999999999994</v>
      </c>
      <c r="F17" t="s">
        <v>63</v>
      </c>
      <c r="G17" t="s">
        <v>64</v>
      </c>
      <c r="H17">
        <v>13.198600000000001</v>
      </c>
      <c r="I17">
        <v>77.706599999999995</v>
      </c>
    </row>
    <row r="18" spans="1:9" x14ac:dyDescent="0.3">
      <c r="A18" s="2" t="s">
        <v>7</v>
      </c>
      <c r="B18" s="2" t="s">
        <v>71</v>
      </c>
      <c r="C18" s="2" t="s">
        <v>72</v>
      </c>
      <c r="D18" s="2">
        <v>19.089600000000001</v>
      </c>
      <c r="E18" s="2">
        <v>72.865600000000001</v>
      </c>
      <c r="F18" s="2" t="s">
        <v>87</v>
      </c>
      <c r="G18" s="2" t="s">
        <v>88</v>
      </c>
      <c r="H18" s="2">
        <v>13.681100000000001</v>
      </c>
      <c r="I18" s="2">
        <v>100.74720000000001</v>
      </c>
    </row>
    <row r="19" spans="1:9" x14ac:dyDescent="0.3">
      <c r="A19" t="s">
        <v>26</v>
      </c>
      <c r="B19" t="s">
        <v>71</v>
      </c>
      <c r="C19" t="s">
        <v>72</v>
      </c>
      <c r="D19">
        <v>19.089600000000001</v>
      </c>
      <c r="E19">
        <v>72.865600000000001</v>
      </c>
      <c r="F19" t="s">
        <v>89</v>
      </c>
      <c r="G19" t="s">
        <v>90</v>
      </c>
      <c r="H19">
        <v>15.38</v>
      </c>
      <c r="I19">
        <v>73.831400000000002</v>
      </c>
    </row>
    <row r="20" spans="1:9" x14ac:dyDescent="0.3">
      <c r="A20" s="2" t="s">
        <v>13</v>
      </c>
      <c r="B20" s="2" t="s">
        <v>71</v>
      </c>
      <c r="C20" s="2" t="s">
        <v>72</v>
      </c>
      <c r="D20" s="2">
        <v>19.089600000000001</v>
      </c>
      <c r="E20" s="2">
        <v>72.865600000000001</v>
      </c>
      <c r="F20" s="2" t="s">
        <v>91</v>
      </c>
      <c r="G20" s="2" t="s">
        <v>92</v>
      </c>
      <c r="H20" s="2">
        <v>35.771999999999998</v>
      </c>
      <c r="I20" s="2">
        <v>140.3929</v>
      </c>
    </row>
    <row r="21" spans="1:9" x14ac:dyDescent="0.3">
      <c r="A21" t="s">
        <v>22</v>
      </c>
      <c r="B21" t="s">
        <v>73</v>
      </c>
      <c r="C21" t="s">
        <v>74</v>
      </c>
      <c r="D21">
        <v>28.5562</v>
      </c>
      <c r="E21">
        <v>77.099999999999994</v>
      </c>
      <c r="F21" t="s">
        <v>93</v>
      </c>
      <c r="G21" t="s">
        <v>94</v>
      </c>
      <c r="H21">
        <v>49.009700000000002</v>
      </c>
      <c r="I21">
        <v>2.5478999999999998</v>
      </c>
    </row>
    <row r="22" spans="1:9" x14ac:dyDescent="0.3">
      <c r="A22" s="2" t="s">
        <v>20</v>
      </c>
      <c r="B22" s="2" t="s">
        <v>79</v>
      </c>
      <c r="C22" s="2" t="s">
        <v>80</v>
      </c>
      <c r="D22" s="2">
        <v>22.652000000000001</v>
      </c>
      <c r="E22" s="2">
        <v>88.446299999999994</v>
      </c>
      <c r="F22" s="2" t="s">
        <v>95</v>
      </c>
      <c r="G22" s="2" t="s">
        <v>96</v>
      </c>
      <c r="H22" s="2">
        <v>2.7456</v>
      </c>
      <c r="I22" s="2">
        <v>101.7072</v>
      </c>
    </row>
  </sheetData>
  <sheetProtection algorithmName="SHA-512" hashValue="zkSQMQk36i7U1fh7ei2Iu9iTOl0NTeYiFU/BZnJkrWeL9BsVAHYFndFDQwIw8EhRfISTws90/yS4klxo9EYR6g==" saltValue="5zJPq8JQaArsQgRQFR7UpQ==" spinCount="100000" sheet="1" objects="1" scenarios="1" selectLockedCells="1" selectUnlockedCells="1"/>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FreqRoutes</vt:lpstr>
      <vt:lpstr>AvgProfitRoute</vt:lpstr>
      <vt:lpstr>MonthlyTrend</vt:lpstr>
      <vt:lpstr>DomVsIntl</vt:lpstr>
      <vt:lpstr>CostVsRevenue</vt:lpstr>
      <vt:lpstr>OccupancyDonut</vt:lpstr>
      <vt:lpstr>RouteMapData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Renu Gajipara</cp:lastModifiedBy>
  <dcterms:created xsi:type="dcterms:W3CDTF">2026-05-08T10:13:07Z</dcterms:created>
  <dcterms:modified xsi:type="dcterms:W3CDTF">2026-05-08T12:57:48Z</dcterms:modified>
</cp:coreProperties>
</file>